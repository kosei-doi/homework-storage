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35" windowWidth="29400" windowHeight="17160" tabRatio="600" firstSheet="0" activeTab="0" autoFilterDateGrouping="1"/>
  </bookViews>
  <sheets>
    <sheet xmlns:r="http://schemas.openxmlformats.org/officeDocument/2006/relationships" name="グラフ用データ" sheetId="1" state="visible" r:id="rId1"/>
    <sheet xmlns:r="http://schemas.openxmlformats.org/officeDocument/2006/relationships" name="実験2-1_グラフ" sheetId="2" state="visible" r:id="rId2"/>
    <sheet xmlns:r="http://schemas.openxmlformats.org/officeDocument/2006/relationships" name="実験2-2_グラフ" sheetId="3" state="visible" r:id="rId3"/>
    <sheet xmlns:r="http://schemas.openxmlformats.org/officeDocument/2006/relationships" name="実験2-3_グラフ" sheetId="4" state="visible" r:id="rId4"/>
    <sheet xmlns:r="http://schemas.openxmlformats.org/officeDocument/2006/relationships" name="グラフ" sheetId="5" state="visible" r:id="rId5"/>
  </sheets>
  <definedNames>
    <definedName name="_xlnm.Print_Area" localSheetId="1">'実験2-1_グラフ'!$A$1:$R$47</definedName>
    <definedName name="_xlnm.Print_Area" localSheetId="2">'実験2-2_グラフ'!$A$1:$R$47</definedName>
    <definedName name="_xlnm.Print_Area" localSheetId="3">'実験2-3_グラフ'!$A$1:$R$47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0.00.E+00"/>
    <numFmt numFmtId="166" formatCode="0.000_ "/>
  </numFmts>
  <fonts count="1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color theme="1"/>
      <sz val="22"/>
      <scheme val="minor"/>
    </font>
    <font>
      <name val="Times New Roman"/>
      <family val="1"/>
      <color theme="1"/>
      <sz val="12"/>
    </font>
    <font>
      <name val="ＭＳ Ｐゴシック"/>
      <charset val="128"/>
      <family val="3"/>
      <color theme="1"/>
      <sz val="12"/>
      <vertAlign val="superscript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2"/>
      <color rgb="FFC00000"/>
      <sz val="11"/>
      <scheme val="minor"/>
    </font>
    <font>
      <name val="ＭＳ Ｐゴシック"/>
      <charset val="128"/>
      <family val="2"/>
      <b val="1"/>
      <color theme="1"/>
      <sz val="22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darkDown"/>
    </fill>
    <fill>
      <patternFill patternType="solid">
        <fgColor theme="5" tint="0.7999511703848384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5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5" fontId="0" fillId="6" borderId="2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5" fontId="0" fillId="7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166" fontId="0" fillId="8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" pivotButton="0" quotePrefix="0" xfId="0"/>
    <xf numFmtId="164" fontId="0" fillId="0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8" borderId="3" applyAlignment="1" pivotButton="0" quotePrefix="0" xfId="0">
      <alignment horizontal="center" vertical="center"/>
    </xf>
    <xf numFmtId="166" fontId="0" fillId="5" borderId="3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6" pivotButton="0" quotePrefix="0" xfId="0"/>
    <xf numFmtId="165" fontId="0" fillId="7" borderId="2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ja-JP" altLang="en-US"/>
              <a:t>図　　偏光板</a:t>
            </a:r>
            <a:r>
              <a:rPr lang="en-US" altLang="ja-JP"/>
              <a:t>2</a:t>
            </a:r>
            <a:r>
              <a:rPr lang="ja-JP" altLang="en-US"/>
              <a:t>枚の場合の測定結果</a:t>
            </a:r>
          </a:p>
        </rich>
      </tx>
      <layout>
        <manualLayout>
          <xMode val="edge"/>
          <yMode val="edge"/>
          <wMode val="factor"/>
          <hMode val="factor"/>
          <x val="0.2250592112906796"/>
          <y val="0.8898071625344357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12191359727495"/>
          <y val="0.02342291924253266"/>
          <w val="0.8501115424533114"/>
          <h val="0.7367653630073101"/>
        </manualLayout>
      </layout>
      <scatterChart>
        <scatterStyle val="smoothMarker"/>
        <varyColors val="0"/>
        <ser>
          <idx val="0"/>
          <order val="0"/>
          <tx>
            <v>理論計算値（グループ2対象）</v>
          </tx>
          <spPr>
            <a:ln xmlns:a="http://schemas.openxmlformats.org/drawingml/2006/main" w="12700">
              <a:solidFill>
                <a:sysClr val="windowText" lastClr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'実験2-1_グラフ'!$B$7:$B$43</f>
              <numCache>
                <formatCode xml:space="preserve">0.0_ </formatCode>
                <ptCount val="3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  <pt idx="7">
                  <v>35</v>
                </pt>
                <pt idx="8">
                  <v>40</v>
                </pt>
                <pt idx="9">
                  <v>45</v>
                </pt>
                <pt idx="10">
                  <v>50</v>
                </pt>
                <pt idx="11">
                  <v>55</v>
                </pt>
                <pt idx="12">
                  <v>60</v>
                </pt>
                <pt idx="13">
                  <v>65</v>
                </pt>
                <pt idx="14">
                  <v>70</v>
                </pt>
                <pt idx="15">
                  <v>75</v>
                </pt>
                <pt idx="16">
                  <v>80</v>
                </pt>
                <pt idx="17">
                  <v>85</v>
                </pt>
                <pt idx="18">
                  <v>90</v>
                </pt>
                <pt idx="19">
                  <v>95</v>
                </pt>
                <pt idx="20">
                  <v>100</v>
                </pt>
                <pt idx="21">
                  <v>105</v>
                </pt>
                <pt idx="22">
                  <v>110</v>
                </pt>
                <pt idx="23">
                  <v>115</v>
                </pt>
                <pt idx="24">
                  <v>120</v>
                </pt>
                <pt idx="25">
                  <v>125</v>
                </pt>
                <pt idx="26">
                  <v>130</v>
                </pt>
                <pt idx="27">
                  <v>135</v>
                </pt>
                <pt idx="28">
                  <v>140</v>
                </pt>
                <pt idx="29">
                  <v>145</v>
                </pt>
                <pt idx="30">
                  <v>150</v>
                </pt>
                <pt idx="31">
                  <v>155</v>
                </pt>
                <pt idx="32">
                  <v>160</v>
                </pt>
                <pt idx="33">
                  <v>165</v>
                </pt>
                <pt idx="34">
                  <v>170</v>
                </pt>
                <pt idx="35">
                  <v>175</v>
                </pt>
                <pt idx="36">
                  <v>180</v>
                </pt>
              </numCache>
            </numRef>
          </xVal>
          <yVal>
            <numRef>
              <f>'実験2-1_グラフ'!$G$7:$G$43</f>
              <numCache>
                <formatCode xml:space="preserve">0.000_ </formatCode>
                <ptCount val="37"/>
                <pt idx="0">
                  <v>1</v>
                </pt>
                <pt idx="1">
                  <v>0.9924038765061041</v>
                </pt>
                <pt idx="2">
                  <v>0.9698463103929541</v>
                </pt>
                <pt idx="3">
                  <v>0.9330127018922194</v>
                </pt>
                <pt idx="4">
                  <v>0.8830222215594891</v>
                </pt>
                <pt idx="5">
                  <v>0.8213938048432696</v>
                </pt>
                <pt idx="6">
                  <v>0.7500000000000001</v>
                </pt>
                <pt idx="7">
                  <v>0.6710100716628343</v>
                </pt>
                <pt idx="8">
                  <v>0.5868240888334652</v>
                </pt>
                <pt idx="9">
                  <v>0.5000000000000001</v>
                </pt>
                <pt idx="10">
                  <v>0.4131759111665348</v>
                </pt>
                <pt idx="11">
                  <v>0.3289899283371657</v>
                </pt>
                <pt idx="12">
                  <v>0.2500000000000001</v>
                </pt>
                <pt idx="13">
                  <v>0.1786061951567303</v>
                </pt>
                <pt idx="14">
                  <v>0.116977778440511</v>
                </pt>
                <pt idx="15">
                  <v>0.06698729810778066</v>
                </pt>
                <pt idx="16">
                  <v>0.03015368960704583</v>
                </pt>
                <pt idx="17">
                  <v>0.007596123493895964</v>
                </pt>
                <pt idx="18">
                  <v>3.752471841412447e-33</v>
                </pt>
                <pt idx="19">
                  <v>0.007596123493895981</v>
                </pt>
                <pt idx="20">
                  <v>0.03015368960704579</v>
                </pt>
                <pt idx="21">
                  <v>0.06698729810778072</v>
                </pt>
                <pt idx="22">
                  <v>0.116977778440511</v>
                </pt>
                <pt idx="23">
                  <v>0.1786061951567302</v>
                </pt>
                <pt idx="24">
                  <v>0.2499999999999998</v>
                </pt>
                <pt idx="25">
                  <v>0.3289899283371657</v>
                </pt>
                <pt idx="26">
                  <v>0.4131759111665348</v>
                </pt>
                <pt idx="27">
                  <v>0.4999999999999999</v>
                </pt>
                <pt idx="28">
                  <v>0.5868240888334649</v>
                </pt>
                <pt idx="29">
                  <v>0.6710100716628346</v>
                </pt>
                <pt idx="30">
                  <v>0.7500000000000001</v>
                </pt>
                <pt idx="31">
                  <v>0.8213938048432696</v>
                </pt>
                <pt idx="32">
                  <v>0.8830222215594888</v>
                </pt>
                <pt idx="33">
                  <v>0.9330127018922192</v>
                </pt>
                <pt idx="34">
                  <v>0.9698463103929541</v>
                </pt>
                <pt idx="35">
                  <v>0.9924038765061041</v>
                </pt>
                <pt idx="36">
                  <v>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3153664"/>
        <axId val="103156352"/>
      </scatterChart>
      <scatterChart>
        <scatterStyle val="lineMarker"/>
        <varyColors val="0"/>
        <ser>
          <idx val="1"/>
          <order val="1"/>
          <tx>
            <v>実験データ</v>
          </tx>
          <spPr>
            <a:ln xmlns:a="http://schemas.openxmlformats.org/drawingml/2006/main" w="28575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marker>
          <xVal>
            <numRef>
              <f>'実験2-1_グラフ'!$B$7:$B$43</f>
              <numCache>
                <formatCode xml:space="preserve">0.0_ </formatCode>
                <ptCount val="3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  <pt idx="7">
                  <v>35</v>
                </pt>
                <pt idx="8">
                  <v>40</v>
                </pt>
                <pt idx="9">
                  <v>45</v>
                </pt>
                <pt idx="10">
                  <v>50</v>
                </pt>
                <pt idx="11">
                  <v>55</v>
                </pt>
                <pt idx="12">
                  <v>60</v>
                </pt>
                <pt idx="13">
                  <v>65</v>
                </pt>
                <pt idx="14">
                  <v>70</v>
                </pt>
                <pt idx="15">
                  <v>75</v>
                </pt>
                <pt idx="16">
                  <v>80</v>
                </pt>
                <pt idx="17">
                  <v>85</v>
                </pt>
                <pt idx="18">
                  <v>90</v>
                </pt>
                <pt idx="19">
                  <v>95</v>
                </pt>
                <pt idx="20">
                  <v>100</v>
                </pt>
                <pt idx="21">
                  <v>105</v>
                </pt>
                <pt idx="22">
                  <v>110</v>
                </pt>
                <pt idx="23">
                  <v>115</v>
                </pt>
                <pt idx="24">
                  <v>120</v>
                </pt>
                <pt idx="25">
                  <v>125</v>
                </pt>
                <pt idx="26">
                  <v>130</v>
                </pt>
                <pt idx="27">
                  <v>135</v>
                </pt>
                <pt idx="28">
                  <v>140</v>
                </pt>
                <pt idx="29">
                  <v>145</v>
                </pt>
                <pt idx="30">
                  <v>150</v>
                </pt>
                <pt idx="31">
                  <v>155</v>
                </pt>
                <pt idx="32">
                  <v>160</v>
                </pt>
                <pt idx="33">
                  <v>165</v>
                </pt>
                <pt idx="34">
                  <v>170</v>
                </pt>
                <pt idx="35">
                  <v>175</v>
                </pt>
                <pt idx="36">
                  <v>180</v>
                </pt>
              </numCache>
            </numRef>
          </xVal>
          <yVal>
            <numRef>
              <f>'実験2-1_グラフ'!$E$7:$E$43</f>
              <numCache>
                <formatCode>0.00.E+00</formatCode>
                <ptCount val="37"/>
                <pt idx="0">
                  <v>1</v>
                </pt>
                <pt idx="2">
                  <v>0.9989795918367348</v>
                </pt>
                <pt idx="4">
                  <v>0.923469387755102</v>
                </pt>
                <pt idx="6">
                  <v>0.7755102040816326</v>
                </pt>
                <pt idx="8">
                  <v>0.6020408163265306</v>
                </pt>
                <pt idx="10">
                  <v>0.4285714285714285</v>
                </pt>
                <pt idx="12">
                  <v>0.2653061224489796</v>
                </pt>
                <pt idx="14">
                  <v>0.1275510204081633</v>
                </pt>
                <pt idx="16">
                  <v>0.04081632653061224</v>
                </pt>
                <pt idx="17">
                  <v>0.01020408163265306</v>
                </pt>
                <pt idx="18">
                  <v>0</v>
                </pt>
                <pt idx="19">
                  <v>0</v>
                </pt>
                <pt idx="20">
                  <v>0.01836734693877551</v>
                </pt>
                <pt idx="22">
                  <v>0.08163265306122448</v>
                </pt>
                <pt idx="24">
                  <v>0.1989795918367347</v>
                </pt>
                <pt idx="26">
                  <v>0.3265306122448979</v>
                </pt>
                <pt idx="28">
                  <v>0.4591836734693878</v>
                </pt>
                <pt idx="30">
                  <v>0.5867346938775511</v>
                </pt>
                <pt idx="32">
                  <v>0.6989795918367347</v>
                </pt>
                <pt idx="34">
                  <v>0.7908163265306123</v>
                </pt>
                <pt idx="36">
                  <v>0.8112244897959183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3153664"/>
        <axId val="103156352"/>
      </scatterChart>
      <valAx>
        <axId val="103153664"/>
        <scaling>
          <orientation val="minMax"/>
          <max val="180"/>
          <min val="0"/>
        </scaling>
        <delete val="0"/>
        <axPos val="b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ot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/>
                </a:pPr>
                <a:r>
                  <a:rPr lang="ja-JP" altLang="en-US" sz="1400"/>
                  <a:t>偏光板②の角度</a:t>
                </a:r>
                <a:r>
                  <a:rPr lang="en-US" altLang="ja-JP" sz="1400"/>
                  <a:t>[degree]</a:t>
                </a:r>
                <a:endParaRPr lang="ja-JP" altLang="en-US" sz="1400"/>
              </a:p>
            </rich>
          </tx>
          <layout>
            <manualLayout>
              <xMode val="edge"/>
              <yMode val="edge"/>
              <wMode val="factor"/>
              <hMode val="factor"/>
              <x val="0.3680148039585407"/>
              <y val="0.8236914600550973"/>
            </manualLayout>
          </layout>
          <overlay val="0"/>
        </title>
        <numFmt formatCode="0.0_ " sourceLinked="1"/>
        <majorTickMark val="in"/>
        <minorTickMark val="none"/>
        <tickLblPos val="nextTo"/>
        <spPr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ysClr val="windowText" lastClr="000000"/>
            </a:solidFill>
            <a:prstDash val="solid"/>
          </a:ln>
        </spPr>
        <crossAx val="103156352"/>
        <crosses val="autoZero"/>
        <crossBetween val="midCat"/>
        <majorUnit val="15"/>
      </valAx>
      <valAx>
        <axId val="103156352"/>
        <scaling>
          <orientation val="minMax"/>
          <max val="1.2"/>
          <min val="0"/>
        </scaling>
        <delete val="0"/>
        <axPos val="l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ot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/>
                </a:pPr>
                <a:r>
                  <a:rPr lang="ja-JP" altLang="en-US" sz="1400"/>
                  <a:t>透過光の相対強度</a:t>
                </a:r>
              </a:p>
            </rich>
          </tx>
          <layout/>
          <overlay val="0"/>
        </title>
        <numFmt formatCode="0.000_ " sourceLinked="1"/>
        <majorTickMark val="in"/>
        <minorTickMark val="none"/>
        <tickLblPos val="nextTo"/>
        <spPr>
          <a:solidFill xmlns:a="http://schemas.openxmlformats.org/drawingml/2006/main">
            <a:sysClr val="window" lastClr="FFFFFF"/>
          </a:solidFill>
          <a:ln xmlns:a="http://schemas.openxmlformats.org/drawingml/2006/main" w="9525">
            <a:solidFill>
              <a:sysClr val="windowText" lastClr="000000"/>
            </a:solidFill>
            <a:prstDash val="solid"/>
          </a:ln>
        </spPr>
        <crossAx val="103153664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5841274254991665"/>
          <y val="0.04026745623739183"/>
          <w val="0.3504206134102321"/>
          <h val="0.08946401180371934"/>
        </manualLayout>
      </layout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ja-JP" altLang="en-US"/>
              <a:t>図　　偏光板</a:t>
            </a:r>
            <a:r>
              <a:rPr lang="en-US" altLang="ja-JP"/>
              <a:t>3</a:t>
            </a:r>
            <a:r>
              <a:rPr lang="ja-JP" altLang="en-US"/>
              <a:t>枚（</a:t>
            </a:r>
            <a:r>
              <a:rPr lang="en-US" altLang="ja-JP"/>
              <a:t>α=0°</a:t>
            </a:r>
            <a:r>
              <a:rPr lang="ja-JP" altLang="en-US"/>
              <a:t>）の場合の測定結果</a:t>
            </a:r>
          </a:p>
        </rich>
      </tx>
      <layout>
        <manualLayout>
          <xMode val="edge"/>
          <yMode val="edge"/>
          <wMode val="factor"/>
          <hMode val="factor"/>
          <x val="0.2250592112906796"/>
          <y val="0.8898071625344357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12191359727495"/>
          <y val="0.02342291924253266"/>
          <w val="0.8501115424533114"/>
          <h val="0.7367653630073101"/>
        </manualLayout>
      </layout>
      <scatterChart>
        <scatterStyle val="smoothMarker"/>
        <varyColors val="0"/>
        <ser>
          <idx val="0"/>
          <order val="0"/>
          <tx>
            <v>理論計算値（グループ2対象）</v>
          </tx>
          <spPr>
            <a:ln xmlns:a="http://schemas.openxmlformats.org/drawingml/2006/main" w="12700">
              <a:solidFill>
                <a:sysClr val="windowText" lastClr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'実験2-2_グラフ'!$B$7:$B$43</f>
              <numCache>
                <formatCode xml:space="preserve">0.0_ </formatCode>
                <ptCount val="3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  <pt idx="7">
                  <v>35</v>
                </pt>
                <pt idx="8">
                  <v>40</v>
                </pt>
                <pt idx="9">
                  <v>45</v>
                </pt>
                <pt idx="10">
                  <v>50</v>
                </pt>
                <pt idx="11">
                  <v>55</v>
                </pt>
                <pt idx="12">
                  <v>60</v>
                </pt>
                <pt idx="13">
                  <v>65</v>
                </pt>
                <pt idx="14">
                  <v>70</v>
                </pt>
                <pt idx="15">
                  <v>75</v>
                </pt>
                <pt idx="16">
                  <v>80</v>
                </pt>
                <pt idx="17">
                  <v>85</v>
                </pt>
                <pt idx="18">
                  <v>90</v>
                </pt>
                <pt idx="19">
                  <v>95</v>
                </pt>
                <pt idx="20">
                  <v>100</v>
                </pt>
                <pt idx="21">
                  <v>105</v>
                </pt>
                <pt idx="22">
                  <v>110</v>
                </pt>
                <pt idx="23">
                  <v>115</v>
                </pt>
                <pt idx="24">
                  <v>120</v>
                </pt>
                <pt idx="25">
                  <v>125</v>
                </pt>
                <pt idx="26">
                  <v>130</v>
                </pt>
                <pt idx="27">
                  <v>135</v>
                </pt>
                <pt idx="28">
                  <v>140</v>
                </pt>
                <pt idx="29">
                  <v>145</v>
                </pt>
                <pt idx="30">
                  <v>150</v>
                </pt>
                <pt idx="31">
                  <v>155</v>
                </pt>
                <pt idx="32">
                  <v>160</v>
                </pt>
                <pt idx="33">
                  <v>165</v>
                </pt>
                <pt idx="34">
                  <v>170</v>
                </pt>
                <pt idx="35">
                  <v>175</v>
                </pt>
                <pt idx="36">
                  <v>180</v>
                </pt>
              </numCache>
            </numRef>
          </xVal>
          <yVal>
            <numRef>
              <f>'実験2-2_グラフ'!$F$7:$F$43</f>
              <numCache>
                <formatCode xml:space="preserve">0.000_ </formatCode>
                <ptCount val="37"/>
                <pt idx="0">
                  <v>1.500988736564979e-32</v>
                </pt>
                <pt idx="1">
                  <v>0.03015368960704578</v>
                </pt>
                <pt idx="2">
                  <v>0.1169777784405111</v>
                </pt>
                <pt idx="3">
                  <v>0.25</v>
                </pt>
                <pt idx="4">
                  <v>0.4131759111665351</v>
                </pt>
                <pt idx="5">
                  <v>0.5868240888334652</v>
                </pt>
                <pt idx="6">
                  <v>0.7499999999999998</v>
                </pt>
                <pt idx="7">
                  <v>0.8830222215594892</v>
                </pt>
                <pt idx="8">
                  <v>0.9698463103929542</v>
                </pt>
                <pt idx="9">
                  <v>1</v>
                </pt>
                <pt idx="10">
                  <v>0.9698463103929542</v>
                </pt>
                <pt idx="11">
                  <v>0.8830222215594892</v>
                </pt>
                <pt idx="12">
                  <v>0.7500000000000002</v>
                </pt>
                <pt idx="13">
                  <v>0.5868240888334652</v>
                </pt>
                <pt idx="14">
                  <v>0.413175911166535</v>
                </pt>
                <pt idx="15">
                  <v>0.25</v>
                </pt>
                <pt idx="16">
                  <v>0.1169777784405111</v>
                </pt>
                <pt idx="17">
                  <v>0.03015368960704578</v>
                </pt>
                <pt idx="18">
                  <v>1.500988736564979e-32</v>
                </pt>
                <pt idx="19">
                  <v>0.03015368960704585</v>
                </pt>
                <pt idx="20">
                  <v>0.1169777784405109</v>
                </pt>
                <pt idx="21">
                  <v>0.2500000000000001</v>
                </pt>
                <pt idx="22">
                  <v>0.4131759111665347</v>
                </pt>
                <pt idx="23">
                  <v>0.5868240888334648</v>
                </pt>
                <pt idx="24">
                  <v>0.7499999999999994</v>
                </pt>
                <pt idx="25">
                  <v>0.8830222215594891</v>
                </pt>
                <pt idx="26">
                  <v>0.9698463103929542</v>
                </pt>
                <pt idx="27">
                  <v>1</v>
                </pt>
                <pt idx="28">
                  <v>0.9698463103929542</v>
                </pt>
                <pt idx="29">
                  <v>0.8830222215594887</v>
                </pt>
                <pt idx="30">
                  <v>0.7499999999999998</v>
                </pt>
                <pt idx="31">
                  <v>0.5868240888334652</v>
                </pt>
                <pt idx="32">
                  <v>0.413175911166535</v>
                </pt>
                <pt idx="33">
                  <v>0.2500000000000004</v>
                </pt>
                <pt idx="34">
                  <v>0.1169777784405108</v>
                </pt>
                <pt idx="35">
                  <v>0.03015368960704578</v>
                </pt>
                <pt idx="36">
                  <v>1.500988736564979e-32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3153664"/>
        <axId val="103156352"/>
      </scatterChart>
      <scatterChart>
        <scatterStyle val="lineMarker"/>
        <varyColors val="0"/>
        <ser>
          <idx val="1"/>
          <order val="1"/>
          <tx>
            <v>実験データ</v>
          </tx>
          <spPr>
            <a:ln xmlns:a="http://schemas.openxmlformats.org/drawingml/2006/main" w="28575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marker>
          <xVal>
            <numRef>
              <f>'実験2-2_グラフ'!$B$7:$B$43</f>
              <numCache>
                <formatCode xml:space="preserve">0.0_ </formatCode>
                <ptCount val="3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  <pt idx="7">
                  <v>35</v>
                </pt>
                <pt idx="8">
                  <v>40</v>
                </pt>
                <pt idx="9">
                  <v>45</v>
                </pt>
                <pt idx="10">
                  <v>50</v>
                </pt>
                <pt idx="11">
                  <v>55</v>
                </pt>
                <pt idx="12">
                  <v>60</v>
                </pt>
                <pt idx="13">
                  <v>65</v>
                </pt>
                <pt idx="14">
                  <v>70</v>
                </pt>
                <pt idx="15">
                  <v>75</v>
                </pt>
                <pt idx="16">
                  <v>80</v>
                </pt>
                <pt idx="17">
                  <v>85</v>
                </pt>
                <pt idx="18">
                  <v>90</v>
                </pt>
                <pt idx="19">
                  <v>95</v>
                </pt>
                <pt idx="20">
                  <v>100</v>
                </pt>
                <pt idx="21">
                  <v>105</v>
                </pt>
                <pt idx="22">
                  <v>110</v>
                </pt>
                <pt idx="23">
                  <v>115</v>
                </pt>
                <pt idx="24">
                  <v>120</v>
                </pt>
                <pt idx="25">
                  <v>125</v>
                </pt>
                <pt idx="26">
                  <v>130</v>
                </pt>
                <pt idx="27">
                  <v>135</v>
                </pt>
                <pt idx="28">
                  <v>140</v>
                </pt>
                <pt idx="29">
                  <v>145</v>
                </pt>
                <pt idx="30">
                  <v>150</v>
                </pt>
                <pt idx="31">
                  <v>155</v>
                </pt>
                <pt idx="32">
                  <v>160</v>
                </pt>
                <pt idx="33">
                  <v>165</v>
                </pt>
                <pt idx="34">
                  <v>170</v>
                </pt>
                <pt idx="35">
                  <v>175</v>
                </pt>
                <pt idx="36">
                  <v>180</v>
                </pt>
              </numCache>
            </numRef>
          </xVal>
          <yVal>
            <numRef>
              <f>'実験2-2_グラフ'!$E$7:$E$43</f>
              <numCache>
                <formatCode>0.00.E+00</formatCode>
                <ptCount val="37"/>
                <pt idx="0">
                  <v>0.02542372881355932</v>
                </pt>
                <pt idx="2">
                  <v>0.2711864406779661</v>
                </pt>
                <pt idx="4">
                  <v>0.3728813559322034</v>
                </pt>
                <pt idx="6">
                  <v>0.7033898305084746</v>
                </pt>
                <pt idx="8">
                  <v>0.923728813559322</v>
                </pt>
                <pt idx="9">
                  <v>0.9661016949152542</v>
                </pt>
                <pt idx="10">
                  <v>0.9491525423728814</v>
                </pt>
                <pt idx="12">
                  <v>0.7542372881355932</v>
                </pt>
                <pt idx="14">
                  <v>0.4152542372881356</v>
                </pt>
                <pt idx="16">
                  <v>0.1355932203389831</v>
                </pt>
                <pt idx="17">
                  <v>0.0423728813559322</v>
                </pt>
                <pt idx="18">
                  <v>0</v>
                </pt>
                <pt idx="19">
                  <v>0.03389830508474576</v>
                </pt>
                <pt idx="20">
                  <v>0.1016949152542373</v>
                </pt>
                <pt idx="22">
                  <v>0.3728813559322034</v>
                </pt>
                <pt idx="24">
                  <v>0.6864406779661016</v>
                </pt>
                <pt idx="26">
                  <v>0.9830508474576272</v>
                </pt>
                <pt idx="27">
                  <v>1</v>
                </pt>
                <pt idx="28">
                  <v>0.9830508474576272</v>
                </pt>
                <pt idx="30">
                  <v>0.7627118644067796</v>
                </pt>
                <pt idx="32">
                  <v>0.6271186440677966</v>
                </pt>
                <pt idx="34">
                  <v>0.1440677966101695</v>
                </pt>
                <pt idx="36">
                  <v>0.01694915254237288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3153664"/>
        <axId val="103156352"/>
      </scatterChart>
      <valAx>
        <axId val="103153664"/>
        <scaling>
          <orientation val="minMax"/>
          <max val="180"/>
          <min val="0"/>
        </scaling>
        <delete val="0"/>
        <axPos val="b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ot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/>
                </a:pPr>
                <a:r>
                  <a:rPr lang="ja-JP" altLang="en-US" sz="1400"/>
                  <a:t>偏光板②の角度</a:t>
                </a:r>
                <a:r>
                  <a:rPr lang="en-US" altLang="ja-JP" sz="1400"/>
                  <a:t>[degree]</a:t>
                </a:r>
                <a:endParaRPr lang="ja-JP" altLang="en-US" sz="1400"/>
              </a:p>
            </rich>
          </tx>
          <layout>
            <manualLayout>
              <xMode val="edge"/>
              <yMode val="edge"/>
              <wMode val="factor"/>
              <hMode val="factor"/>
              <x val="0.3680148039585407"/>
              <y val="0.8236914600550973"/>
            </manualLayout>
          </layout>
          <overlay val="0"/>
        </title>
        <numFmt formatCode="0.0_ " sourceLinked="1"/>
        <majorTickMark val="in"/>
        <minorTickMark val="none"/>
        <tickLblPos val="nextTo"/>
        <spPr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ysClr val="windowText" lastClr="000000"/>
            </a:solidFill>
            <a:prstDash val="solid"/>
          </a:ln>
        </spPr>
        <crossAx val="103156352"/>
        <crosses val="autoZero"/>
        <crossBetween val="midCat"/>
        <majorUnit val="15"/>
      </valAx>
      <valAx>
        <axId val="103156352"/>
        <scaling>
          <orientation val="minMax"/>
          <max val="1.2"/>
          <min val="0"/>
        </scaling>
        <delete val="0"/>
        <axPos val="l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ot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/>
                </a:pPr>
                <a:r>
                  <a:rPr lang="ja-JP" altLang="en-US" sz="1400"/>
                  <a:t>透過光の相対強度</a:t>
                </a:r>
              </a:p>
            </rich>
          </tx>
          <layout/>
          <overlay val="0"/>
        </title>
        <numFmt formatCode="0.000_ " sourceLinked="1"/>
        <majorTickMark val="in"/>
        <minorTickMark val="none"/>
        <tickLblPos val="nextTo"/>
        <spPr>
          <a:solidFill xmlns:a="http://schemas.openxmlformats.org/drawingml/2006/main">
            <a:sysClr val="window" lastClr="FFFFFF"/>
          </a:solidFill>
          <a:ln xmlns:a="http://schemas.openxmlformats.org/drawingml/2006/main" w="9525">
            <a:solidFill>
              <a:sysClr val="windowText" lastClr="000000"/>
            </a:solidFill>
            <a:prstDash val="solid"/>
          </a:ln>
        </spPr>
        <crossAx val="103153664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5841274254991665"/>
          <y val="0.04026745623739183"/>
          <w val="0.3504206134102321"/>
          <h val="0.08946401180371934"/>
        </manualLayout>
      </layout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ja-JP" altLang="en-US"/>
              <a:t>図　　偏光板</a:t>
            </a:r>
            <a:r>
              <a:rPr lang="en-US" altLang="ja-JP"/>
              <a:t>3</a:t>
            </a:r>
            <a:r>
              <a:rPr lang="ja-JP" altLang="en-US"/>
              <a:t>枚（</a:t>
            </a:r>
            <a:r>
              <a:rPr lang="en-US" altLang="ja-JP"/>
              <a:t>α=10°</a:t>
            </a:r>
            <a:r>
              <a:rPr lang="ja-JP" altLang="en-US"/>
              <a:t>）の場合の測定結果</a:t>
            </a:r>
          </a:p>
        </rich>
      </tx>
      <layout>
        <manualLayout>
          <xMode val="edge"/>
          <yMode val="edge"/>
          <wMode val="factor"/>
          <hMode val="factor"/>
          <x val="0.2250592112906796"/>
          <y val="0.8898071625344357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12191359727495"/>
          <y val="0.02342291924253266"/>
          <w val="0.8501115424533114"/>
          <h val="0.7367653630073101"/>
        </manualLayout>
      </layout>
      <scatterChart>
        <scatterStyle val="smoothMarker"/>
        <varyColors val="0"/>
        <ser>
          <idx val="0"/>
          <order val="0"/>
          <tx>
            <v>理論計算値（グループ2対象）</v>
          </tx>
          <spPr>
            <a:ln xmlns:a="http://schemas.openxmlformats.org/drawingml/2006/main" w="12700">
              <a:solidFill>
                <a:sysClr val="windowText" lastClr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'実験2-3_グラフ'!$B$7:$B$43</f>
              <numCache>
                <formatCode xml:space="preserve">0.0_ </formatCode>
                <ptCount val="3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  <pt idx="7">
                  <v>35</v>
                </pt>
                <pt idx="8">
                  <v>40</v>
                </pt>
                <pt idx="9">
                  <v>45</v>
                </pt>
                <pt idx="10">
                  <v>50</v>
                </pt>
                <pt idx="11">
                  <v>55</v>
                </pt>
                <pt idx="12">
                  <v>60</v>
                </pt>
                <pt idx="13">
                  <v>65</v>
                </pt>
                <pt idx="14">
                  <v>70</v>
                </pt>
                <pt idx="15">
                  <v>75</v>
                </pt>
                <pt idx="16">
                  <v>80</v>
                </pt>
                <pt idx="17">
                  <v>85</v>
                </pt>
                <pt idx="18">
                  <v>90</v>
                </pt>
                <pt idx="19">
                  <v>95</v>
                </pt>
                <pt idx="20">
                  <v>100</v>
                </pt>
                <pt idx="21">
                  <v>105</v>
                </pt>
                <pt idx="22">
                  <v>110</v>
                </pt>
                <pt idx="23">
                  <v>115</v>
                </pt>
                <pt idx="24">
                  <v>120</v>
                </pt>
                <pt idx="25">
                  <v>125</v>
                </pt>
                <pt idx="26">
                  <v>130</v>
                </pt>
                <pt idx="27">
                  <v>135</v>
                </pt>
                <pt idx="28">
                  <v>140</v>
                </pt>
                <pt idx="29">
                  <v>145</v>
                </pt>
                <pt idx="30">
                  <v>150</v>
                </pt>
                <pt idx="31">
                  <v>155</v>
                </pt>
                <pt idx="32">
                  <v>160</v>
                </pt>
                <pt idx="33">
                  <v>165</v>
                </pt>
                <pt idx="34">
                  <v>170</v>
                </pt>
                <pt idx="35">
                  <v>175</v>
                </pt>
                <pt idx="36">
                  <v>180</v>
                </pt>
              </numCache>
            </numRef>
          </xVal>
          <yVal>
            <numRef>
              <f>'実験2-3_グラフ'!$F$7:$F$43</f>
              <numCache>
                <formatCode xml:space="preserve">0.000_ </formatCode>
                <ptCount val="37"/>
                <pt idx="0">
                  <v>1.057942142513755e-32</v>
                </pt>
                <pt idx="1">
                  <v>0.02191401860977165</v>
                </pt>
                <pt idx="2">
                  <v>0.08765607443908673</v>
                </pt>
                <pt idx="3">
                  <v>0.1932513206942778</v>
                </pt>
                <pt idx="4">
                  <v>0.3297978686584131</v>
                </pt>
                <pt idx="5">
                  <v>0.4844239788310176</v>
                </pt>
                <pt idx="6">
                  <v>0.641731265668233</v>
                </pt>
                <pt idx="7">
                  <v>0.7855531656743581</v>
                </pt>
                <pt idx="8">
                  <v>0.9008195737642476</v>
                </pt>
                <pt idx="9">
                  <v>0.9753053367192361</v>
                </pt>
                <pt idx="10">
                  <v>1.00105381173031</v>
                </pt>
                <pt idx="11">
                  <v>0.9753053367192361</v>
                </pt>
                <pt idx="12">
                  <v>0.9008195737642478</v>
                </pt>
                <pt idx="13">
                  <v>0.7855531656743581</v>
                </pt>
                <pt idx="14">
                  <v>0.6417312656682336</v>
                </pt>
                <pt idx="15">
                  <v>0.4844239788310176</v>
                </pt>
                <pt idx="16">
                  <v>0.3297978686584131</v>
                </pt>
                <pt idx="17">
                  <v>0.1932513206942778</v>
                </pt>
                <pt idx="18">
                  <v>0.08765607443908673</v>
                </pt>
                <pt idx="19">
                  <v>0.02191401860977165</v>
                </pt>
                <pt idx="20">
                  <v>1.057942142513755e-32</v>
                </pt>
                <pt idx="21">
                  <v>0.02060255728182225</v>
                </pt>
                <pt idx="22">
                  <v>0.07740226158438619</v>
                </pt>
                <pt idx="23">
                  <v>0.159950440898024</v>
                </pt>
                <pt idx="24">
                  <v>0.2550387611348346</v>
                </pt>
                <pt idx="25">
                  <v>0.3483911506149533</v>
                </pt>
                <pt idx="26">
                  <v>0.4264709947917629</v>
                </pt>
                <pt idx="27">
                  <v>0.4781830353737875</v>
                </pt>
                <pt idx="28">
                  <v>0.4962625975822569</v>
                </pt>
                <pt idx="29">
                  <v>0.4781830353737874</v>
                </pt>
                <pt idx="30">
                  <v>0.4264709947917626</v>
                </pt>
                <pt idx="31">
                  <v>0.3483911506149531</v>
                </pt>
                <pt idx="32">
                  <v>0.2550387611348352</v>
                </pt>
                <pt idx="33">
                  <v>0.1599504408980245</v>
                </pt>
                <pt idx="34">
                  <v>0.07740226158438612</v>
                </pt>
                <pt idx="35">
                  <v>0.02060255728182221</v>
                </pt>
                <pt idx="36">
                  <v>1.057942142513755e-32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3153664"/>
        <axId val="103156352"/>
      </scatterChart>
      <scatterChart>
        <scatterStyle val="lineMarker"/>
        <varyColors val="0"/>
        <ser>
          <idx val="1"/>
          <order val="1"/>
          <tx>
            <v>実験データ</v>
          </tx>
          <spPr>
            <a:ln xmlns:a="http://schemas.openxmlformats.org/drawingml/2006/main" w="28575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marker>
          <xVal>
            <numRef>
              <f>'実験2-3_グラフ'!$B$7:$B$43</f>
              <numCache>
                <formatCode xml:space="preserve">0.0_ </formatCode>
                <ptCount val="3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  <pt idx="7">
                  <v>35</v>
                </pt>
                <pt idx="8">
                  <v>40</v>
                </pt>
                <pt idx="9">
                  <v>45</v>
                </pt>
                <pt idx="10">
                  <v>50</v>
                </pt>
                <pt idx="11">
                  <v>55</v>
                </pt>
                <pt idx="12">
                  <v>60</v>
                </pt>
                <pt idx="13">
                  <v>65</v>
                </pt>
                <pt idx="14">
                  <v>70</v>
                </pt>
                <pt idx="15">
                  <v>75</v>
                </pt>
                <pt idx="16">
                  <v>80</v>
                </pt>
                <pt idx="17">
                  <v>85</v>
                </pt>
                <pt idx="18">
                  <v>90</v>
                </pt>
                <pt idx="19">
                  <v>95</v>
                </pt>
                <pt idx="20">
                  <v>100</v>
                </pt>
                <pt idx="21">
                  <v>105</v>
                </pt>
                <pt idx="22">
                  <v>110</v>
                </pt>
                <pt idx="23">
                  <v>115</v>
                </pt>
                <pt idx="24">
                  <v>120</v>
                </pt>
                <pt idx="25">
                  <v>125</v>
                </pt>
                <pt idx="26">
                  <v>130</v>
                </pt>
                <pt idx="27">
                  <v>135</v>
                </pt>
                <pt idx="28">
                  <v>140</v>
                </pt>
                <pt idx="29">
                  <v>145</v>
                </pt>
                <pt idx="30">
                  <v>150</v>
                </pt>
                <pt idx="31">
                  <v>155</v>
                </pt>
                <pt idx="32">
                  <v>160</v>
                </pt>
                <pt idx="33">
                  <v>165</v>
                </pt>
                <pt idx="34">
                  <v>170</v>
                </pt>
                <pt idx="35">
                  <v>175</v>
                </pt>
                <pt idx="36">
                  <v>180</v>
                </pt>
              </numCache>
            </numRef>
          </xVal>
          <yVal>
            <numRef>
              <f>'実験2-3_グラフ'!$E$7:$E$43</f>
              <numCache>
                <formatCode>0.00.E+00</formatCode>
                <ptCount val="37"/>
                <pt idx="0">
                  <v>0</v>
                </pt>
                <pt idx="2">
                  <v>0.0603448275862069</v>
                </pt>
                <pt idx="4">
                  <v>0.3103448275862069</v>
                </pt>
                <pt idx="6">
                  <v>0.6293103448275862</v>
                </pt>
                <pt idx="8">
                  <v>0.8793103448275862</v>
                </pt>
                <pt idx="9">
                  <v>0.9655172413793104</v>
                </pt>
                <pt idx="10">
                  <v>1</v>
                </pt>
                <pt idx="12">
                  <v>0.853448275862069</v>
                </pt>
                <pt idx="14">
                  <v>0.6206896551724138</v>
                </pt>
                <pt idx="16">
                  <v>0.3362068965517241</v>
                </pt>
                <pt idx="17">
                  <v>0.1724137931034483</v>
                </pt>
                <pt idx="18">
                  <v>0.08620689655172414</v>
                </pt>
                <pt idx="19">
                  <v>0.01724137931034483</v>
                </pt>
                <pt idx="20">
                  <v>0.008620689655172414</v>
                </pt>
                <pt idx="22">
                  <v>0.103448275862069</v>
                </pt>
                <pt idx="24">
                  <v>0.3275862068965517</v>
                </pt>
                <pt idx="26">
                  <v>0.5172413793103449</v>
                </pt>
                <pt idx="27">
                  <v>0.5862068965517241</v>
                </pt>
                <pt idx="28">
                  <v>0.6120689655172413</v>
                </pt>
                <pt idx="30">
                  <v>0.5344827586206896</v>
                </pt>
                <pt idx="32">
                  <v>0.3275862068965517</v>
                </pt>
                <pt idx="34">
                  <v>0.1120689655172414</v>
                </pt>
                <pt idx="36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3153664"/>
        <axId val="103156352"/>
      </scatterChart>
      <valAx>
        <axId val="103153664"/>
        <scaling>
          <orientation val="minMax"/>
          <max val="180"/>
          <min val="0"/>
        </scaling>
        <delete val="0"/>
        <axPos val="b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ot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/>
                </a:pPr>
                <a:r>
                  <a:rPr lang="ja-JP" altLang="en-US" sz="1400"/>
                  <a:t>偏光板②の角度</a:t>
                </a:r>
                <a:r>
                  <a:rPr lang="en-US" altLang="ja-JP" sz="1400"/>
                  <a:t>[degree]</a:t>
                </a:r>
                <a:endParaRPr lang="ja-JP" altLang="en-US" sz="1400"/>
              </a:p>
            </rich>
          </tx>
          <layout>
            <manualLayout>
              <xMode val="edge"/>
              <yMode val="edge"/>
              <wMode val="factor"/>
              <hMode val="factor"/>
              <x val="0.3680148039585407"/>
              <y val="0.8236914600550973"/>
            </manualLayout>
          </layout>
          <overlay val="0"/>
        </title>
        <numFmt formatCode="0.0_ " sourceLinked="1"/>
        <majorTickMark val="in"/>
        <minorTickMark val="none"/>
        <tickLblPos val="nextTo"/>
        <spPr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ysClr val="windowText" lastClr="000000"/>
            </a:solidFill>
            <a:prstDash val="solid"/>
          </a:ln>
        </spPr>
        <crossAx val="103156352"/>
        <crosses val="autoZero"/>
        <crossBetween val="midCat"/>
        <majorUnit val="15"/>
      </valAx>
      <valAx>
        <axId val="103156352"/>
        <scaling>
          <orientation val="minMax"/>
          <max val="1.2"/>
          <min val="0"/>
        </scaling>
        <delete val="0"/>
        <axPos val="l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ot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/>
                </a:pPr>
                <a:r>
                  <a:rPr lang="ja-JP" altLang="en-US" sz="1400"/>
                  <a:t>透過光の相対強度</a:t>
                </a:r>
              </a:p>
            </rich>
          </tx>
          <layout/>
          <overlay val="0"/>
        </title>
        <numFmt formatCode="0.000_ " sourceLinked="1"/>
        <majorTickMark val="in"/>
        <minorTickMark val="none"/>
        <tickLblPos val="nextTo"/>
        <spPr>
          <a:solidFill xmlns:a="http://schemas.openxmlformats.org/drawingml/2006/main">
            <a:sysClr val="window" lastClr="FFFFFF"/>
          </a:solidFill>
          <a:ln xmlns:a="http://schemas.openxmlformats.org/drawingml/2006/main" w="9525">
            <a:solidFill>
              <a:sysClr val="windowText" lastClr="000000"/>
            </a:solidFill>
            <a:prstDash val="solid"/>
          </a:ln>
        </spPr>
        <crossAx val="103153664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5841274254991665"/>
          <y val="0.04026745623739183"/>
          <w val="0.3504206134102321"/>
          <h val="0.08946401180371934"/>
        </manualLayout>
      </layout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光と波動 実験2 白色光の偏光特性</a:t>
            </a:r>
          </a:p>
        </rich>
      </tx>
    </title>
    <plotArea>
      <scatterChart>
        <ser>
          <idx val="0"/>
          <order val="0"/>
          <tx>
            <v>実験2-1: 偏光板2枚 (測定値)</v>
          </tx>
          <spPr>
            <a:ln xmlns:a="http://schemas.openxmlformats.org/drawingml/2006/main" w="30000">
              <a:solidFill>
                <a:srgbClr val="0066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'グラフ用データ'!$A$2:$A$38</f>
            </numRef>
          </xVal>
          <yVal>
            <numRef>
              <f>'グラフ用データ'!$B$1:$B$38</f>
            </numRef>
          </yVal>
        </ser>
        <ser>
          <idx val="1"/>
          <order val="1"/>
          <tx>
            <v>実験2-1: 偏光板2枚 (理論値)</v>
          </tx>
          <spPr>
            <a:ln xmlns:a="http://schemas.openxmlformats.org/drawingml/2006/main" w="20000">
              <a:solidFill>
                <a:srgbClr val="0066CC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'グラフ用データ'!$A$2:$A$38</f>
            </numRef>
          </xVal>
          <yVal>
            <numRef>
              <f>'グラフ用データ'!$C$1:$C$38</f>
            </numRef>
          </yVal>
        </ser>
        <ser>
          <idx val="2"/>
          <order val="2"/>
          <tx>
            <v>実験2-2: 偏光板3枚 (α=0°) (測定値)</v>
          </tx>
          <spPr>
            <a:ln xmlns:a="http://schemas.openxmlformats.org/drawingml/2006/main" w="30000">
              <a:solidFill>
                <a:srgbClr val="CC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'グラフ用データ'!$A$2:$A$38</f>
            </numRef>
          </xVal>
          <yVal>
            <numRef>
              <f>'グラフ用データ'!$D$1:$D$38</f>
            </numRef>
          </yVal>
        </ser>
        <ser>
          <idx val="3"/>
          <order val="3"/>
          <tx>
            <v>実験2-2: 偏光板3枚 (α=0°) (理論値)</v>
          </tx>
          <spPr>
            <a:ln xmlns:a="http://schemas.openxmlformats.org/drawingml/2006/main" w="20000">
              <a:solidFill>
                <a:srgbClr val="CC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'グラフ用データ'!$A$2:$A$38</f>
            </numRef>
          </xVal>
          <yVal>
            <numRef>
              <f>'グラフ用データ'!$E$1:$E$38</f>
            </numRef>
          </yVal>
        </ser>
        <ser>
          <idx val="4"/>
          <order val="4"/>
          <tx>
            <v>実験2-3: 偏光板3枚 (α=10°) (測定値)</v>
          </tx>
          <spPr>
            <a:ln xmlns:a="http://schemas.openxmlformats.org/drawingml/2006/main" w="30000">
              <a:solidFill>
                <a:srgbClr val="009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'グラフ用データ'!$A$2:$A$38</f>
            </numRef>
          </xVal>
          <yVal>
            <numRef>
              <f>'グラフ用データ'!$F$1:$F$38</f>
            </numRef>
          </yVal>
        </ser>
        <ser>
          <idx val="5"/>
          <order val="5"/>
          <tx>
            <v>実験2-3: 偏光板3枚 (α=10°) (理論値)</v>
          </tx>
          <spPr>
            <a:ln xmlns:a="http://schemas.openxmlformats.org/drawingml/2006/main" w="20000">
              <a:solidFill>
                <a:srgbClr val="0099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'グラフ用データ'!$A$2:$A$38</f>
            </numRef>
          </xVal>
          <yVal>
            <numRef>
              <f>'グラフ用データ'!$G$1:$G$38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θ [degree]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相対強度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>
    <from>
      <col>7</col>
      <colOff>190498</colOff>
      <row>4</row>
      <rowOff>161925</rowOff>
    </from>
    <to>
      <col>16</col>
      <colOff>380999</colOff>
      <row>32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190498</colOff>
      <row>4</row>
      <rowOff>161925</rowOff>
    </from>
    <to>
      <col>16</col>
      <colOff>380999</colOff>
      <row>32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7</col>
      <colOff>190498</colOff>
      <row>4</row>
      <rowOff>161925</rowOff>
    </from>
    <to>
      <col>16</col>
      <colOff>380999</colOff>
      <row>32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角度 [degree]</t>
        </is>
      </c>
      <c r="B1" t="inlineStr">
        <is>
          <t>実験2-1_測定値</t>
        </is>
      </c>
      <c r="C1" t="inlineStr">
        <is>
          <t>実験2-1_理論値</t>
        </is>
      </c>
      <c r="D1" t="inlineStr">
        <is>
          <t>実験2-2_測定値</t>
        </is>
      </c>
      <c r="E1" t="inlineStr">
        <is>
          <t>実験2-2_理論値</t>
        </is>
      </c>
      <c r="F1" t="inlineStr">
        <is>
          <t>実験2-3_測定値</t>
        </is>
      </c>
      <c r="G1" t="inlineStr">
        <is>
          <t>実験2-3_理論値</t>
        </is>
      </c>
    </row>
    <row r="2">
      <c r="A2" t="n">
        <v>0</v>
      </c>
      <c r="B2" t="n">
        <v>1</v>
      </c>
      <c r="C2" t="n">
        <v>1</v>
      </c>
      <c r="D2" t="n">
        <v>0.02542372881355932</v>
      </c>
      <c r="E2" t="n">
        <v>1.500988736564979e-32</v>
      </c>
      <c r="F2" t="n">
        <v>0</v>
      </c>
      <c r="G2" t="n">
        <v>1.057942142513755e-32</v>
      </c>
    </row>
    <row r="3">
      <c r="A3" t="n">
        <v>5</v>
      </c>
      <c r="C3" t="n">
        <v>0.9924038765061041</v>
      </c>
      <c r="E3" t="n">
        <v>0.03015368960704578</v>
      </c>
      <c r="G3" t="n">
        <v>0.02191401860977165</v>
      </c>
    </row>
    <row r="4">
      <c r="A4" t="n">
        <v>10</v>
      </c>
      <c r="B4" t="n">
        <v>0.9989795918367348</v>
      </c>
      <c r="C4" t="n">
        <v>0.9698463103929541</v>
      </c>
      <c r="D4" t="n">
        <v>0.2711864406779661</v>
      </c>
      <c r="E4" t="n">
        <v>0.1169777784405111</v>
      </c>
      <c r="F4" t="n">
        <v>0.0603448275862069</v>
      </c>
      <c r="G4" t="n">
        <v>0.08765607443908673</v>
      </c>
    </row>
    <row r="5">
      <c r="A5" t="n">
        <v>15</v>
      </c>
      <c r="C5" t="n">
        <v>0.9330127018922194</v>
      </c>
      <c r="E5" t="n">
        <v>0.25</v>
      </c>
      <c r="G5" t="n">
        <v>0.1932513206942778</v>
      </c>
    </row>
    <row r="6">
      <c r="A6" t="n">
        <v>20</v>
      </c>
      <c r="B6" t="n">
        <v>0.923469387755102</v>
      </c>
      <c r="C6" t="n">
        <v>0.8830222215594891</v>
      </c>
      <c r="D6" t="n">
        <v>0.3728813559322034</v>
      </c>
      <c r="E6" t="n">
        <v>0.4131759111665351</v>
      </c>
      <c r="F6" t="n">
        <v>0.3103448275862069</v>
      </c>
      <c r="G6" t="n">
        <v>0.3297978686584131</v>
      </c>
    </row>
    <row r="7">
      <c r="A7" t="n">
        <v>25</v>
      </c>
      <c r="C7" t="n">
        <v>0.8213938048432696</v>
      </c>
      <c r="E7" t="n">
        <v>0.5868240888334652</v>
      </c>
      <c r="G7" t="n">
        <v>0.4844239788310176</v>
      </c>
    </row>
    <row r="8">
      <c r="A8" t="n">
        <v>30</v>
      </c>
      <c r="B8" t="n">
        <v>0.7755102040816326</v>
      </c>
      <c r="C8" t="n">
        <v>0.7500000000000001</v>
      </c>
      <c r="D8" t="n">
        <v>0.7033898305084746</v>
      </c>
      <c r="E8" t="n">
        <v>0.7499999999999998</v>
      </c>
      <c r="F8" t="n">
        <v>0.6293103448275862</v>
      </c>
      <c r="G8" t="n">
        <v>0.641731265668233</v>
      </c>
    </row>
    <row r="9">
      <c r="A9" t="n">
        <v>35</v>
      </c>
      <c r="C9" t="n">
        <v>0.6710100716628343</v>
      </c>
      <c r="E9" t="n">
        <v>0.8830222215594892</v>
      </c>
      <c r="G9" t="n">
        <v>0.7855531656743581</v>
      </c>
    </row>
    <row r="10">
      <c r="A10" t="n">
        <v>40</v>
      </c>
      <c r="B10" t="n">
        <v>0.6020408163265306</v>
      </c>
      <c r="C10" t="n">
        <v>0.5868240888334652</v>
      </c>
      <c r="D10" t="n">
        <v>0.923728813559322</v>
      </c>
      <c r="E10" t="n">
        <v>0.9698463103929542</v>
      </c>
      <c r="F10" t="n">
        <v>0.8793103448275862</v>
      </c>
      <c r="G10" t="n">
        <v>0.9008195737642476</v>
      </c>
    </row>
    <row r="11">
      <c r="A11" t="n">
        <v>45</v>
      </c>
      <c r="C11" t="n">
        <v>0.5000000000000001</v>
      </c>
      <c r="D11" t="n">
        <v>0.9661016949152542</v>
      </c>
      <c r="E11" t="n">
        <v>1</v>
      </c>
      <c r="F11" t="n">
        <v>0.9655172413793104</v>
      </c>
      <c r="G11" t="n">
        <v>0.9753053367192361</v>
      </c>
    </row>
    <row r="12">
      <c r="A12" t="n">
        <v>50</v>
      </c>
      <c r="B12" t="n">
        <v>0.4285714285714285</v>
      </c>
      <c r="C12" t="n">
        <v>0.4131759111665348</v>
      </c>
      <c r="D12" t="n">
        <v>0.9491525423728814</v>
      </c>
      <c r="E12" t="n">
        <v>0.9698463103929542</v>
      </c>
      <c r="F12" t="n">
        <v>1</v>
      </c>
      <c r="G12" t="n">
        <v>1.00105381173031</v>
      </c>
    </row>
    <row r="13">
      <c r="A13" t="n">
        <v>55</v>
      </c>
      <c r="C13" t="n">
        <v>0.3289899283371657</v>
      </c>
      <c r="E13" t="n">
        <v>0.8830222215594892</v>
      </c>
      <c r="G13" t="n">
        <v>0.9753053367192361</v>
      </c>
    </row>
    <row r="14">
      <c r="A14" t="n">
        <v>60</v>
      </c>
      <c r="B14" t="n">
        <v>0.2653061224489796</v>
      </c>
      <c r="C14" t="n">
        <v>0.2500000000000001</v>
      </c>
      <c r="D14" t="n">
        <v>0.7542372881355932</v>
      </c>
      <c r="E14" t="n">
        <v>0.7500000000000002</v>
      </c>
      <c r="F14" t="n">
        <v>0.853448275862069</v>
      </c>
      <c r="G14" t="n">
        <v>0.9008195737642478</v>
      </c>
    </row>
    <row r="15">
      <c r="A15" t="n">
        <v>65</v>
      </c>
      <c r="C15" t="n">
        <v>0.1786061951567303</v>
      </c>
      <c r="E15" t="n">
        <v>0.5868240888334652</v>
      </c>
      <c r="G15" t="n">
        <v>0.7855531656743581</v>
      </c>
    </row>
    <row r="16">
      <c r="A16" t="n">
        <v>70</v>
      </c>
      <c r="B16" t="n">
        <v>0.1275510204081633</v>
      </c>
      <c r="C16" t="n">
        <v>0.116977778440511</v>
      </c>
      <c r="D16" t="n">
        <v>0.4152542372881356</v>
      </c>
      <c r="E16" t="n">
        <v>0.413175911166535</v>
      </c>
      <c r="F16" t="n">
        <v>0.6206896551724138</v>
      </c>
      <c r="G16" t="n">
        <v>0.6417312656682336</v>
      </c>
    </row>
    <row r="17">
      <c r="A17" t="n">
        <v>75</v>
      </c>
      <c r="C17" t="n">
        <v>0.06698729810778066</v>
      </c>
      <c r="E17" t="n">
        <v>0.25</v>
      </c>
      <c r="G17" t="n">
        <v>0.4844239788310176</v>
      </c>
    </row>
    <row r="18">
      <c r="A18" t="n">
        <v>80</v>
      </c>
      <c r="B18" t="n">
        <v>0.04081632653061224</v>
      </c>
      <c r="C18" t="n">
        <v>0.03015368960704583</v>
      </c>
      <c r="D18" t="n">
        <v>0.1355932203389831</v>
      </c>
      <c r="E18" t="n">
        <v>0.1169777784405111</v>
      </c>
      <c r="F18" t="n">
        <v>0.3362068965517241</v>
      </c>
      <c r="G18" t="n">
        <v>0.3297978686584131</v>
      </c>
    </row>
    <row r="19">
      <c r="A19" t="n">
        <v>85</v>
      </c>
      <c r="B19" t="n">
        <v>0.01020408163265306</v>
      </c>
      <c r="C19" t="n">
        <v>0.007596123493895964</v>
      </c>
      <c r="D19" t="n">
        <v>0.0423728813559322</v>
      </c>
      <c r="E19" t="n">
        <v>0.03015368960704578</v>
      </c>
      <c r="F19" t="n">
        <v>0.1724137931034483</v>
      </c>
      <c r="G19" t="n">
        <v>0.1932513206942778</v>
      </c>
    </row>
    <row r="20">
      <c r="A20" t="n">
        <v>90</v>
      </c>
      <c r="B20" t="n">
        <v>0</v>
      </c>
      <c r="C20" t="n">
        <v>3.752471841412447e-33</v>
      </c>
      <c r="D20" t="n">
        <v>0</v>
      </c>
      <c r="E20" t="n">
        <v>1.500988736564979e-32</v>
      </c>
      <c r="F20" t="n">
        <v>0.08620689655172414</v>
      </c>
      <c r="G20" t="n">
        <v>0.08765607443908673</v>
      </c>
    </row>
    <row r="21">
      <c r="A21" t="n">
        <v>95</v>
      </c>
      <c r="B21" t="n">
        <v>0</v>
      </c>
      <c r="C21" t="n">
        <v>0.007596123493895981</v>
      </c>
      <c r="D21" t="n">
        <v>0.03389830508474576</v>
      </c>
      <c r="E21" t="n">
        <v>0.03015368960704585</v>
      </c>
      <c r="F21" t="n">
        <v>0.01724137931034483</v>
      </c>
      <c r="G21" t="n">
        <v>0.02191401860977165</v>
      </c>
    </row>
    <row r="22">
      <c r="A22" t="n">
        <v>100</v>
      </c>
      <c r="B22" t="n">
        <v>0.01836734693877551</v>
      </c>
      <c r="C22" t="n">
        <v>0.03015368960704579</v>
      </c>
      <c r="D22" t="n">
        <v>0.1016949152542373</v>
      </c>
      <c r="E22" t="n">
        <v>0.1169777784405109</v>
      </c>
      <c r="F22" t="n">
        <v>0.008620689655172414</v>
      </c>
      <c r="G22" t="n">
        <v>1.057942142513755e-32</v>
      </c>
    </row>
    <row r="23">
      <c r="A23" t="n">
        <v>105</v>
      </c>
      <c r="C23" t="n">
        <v>0.06698729810778072</v>
      </c>
      <c r="E23" t="n">
        <v>0.2500000000000001</v>
      </c>
      <c r="G23" t="n">
        <v>0.02060255728182225</v>
      </c>
    </row>
    <row r="24">
      <c r="A24" t="n">
        <v>110</v>
      </c>
      <c r="B24" t="n">
        <v>0.08163265306122448</v>
      </c>
      <c r="C24" t="n">
        <v>0.116977778440511</v>
      </c>
      <c r="D24" t="n">
        <v>0.3728813559322034</v>
      </c>
      <c r="E24" t="n">
        <v>0.4131759111665347</v>
      </c>
      <c r="F24" t="n">
        <v>0.103448275862069</v>
      </c>
      <c r="G24" t="n">
        <v>0.07740226158438619</v>
      </c>
    </row>
    <row r="25">
      <c r="A25" t="n">
        <v>115</v>
      </c>
      <c r="C25" t="n">
        <v>0.1786061951567302</v>
      </c>
      <c r="E25" t="n">
        <v>0.5868240888334648</v>
      </c>
      <c r="G25" t="n">
        <v>0.159950440898024</v>
      </c>
    </row>
    <row r="26">
      <c r="A26" t="n">
        <v>120</v>
      </c>
      <c r="B26" t="n">
        <v>0.1989795918367347</v>
      </c>
      <c r="C26" t="n">
        <v>0.2499999999999998</v>
      </c>
      <c r="D26" t="n">
        <v>0.6864406779661016</v>
      </c>
      <c r="E26" t="n">
        <v>0.7499999999999994</v>
      </c>
      <c r="F26" t="n">
        <v>0.3275862068965517</v>
      </c>
      <c r="G26" t="n">
        <v>0.2550387611348346</v>
      </c>
    </row>
    <row r="27">
      <c r="A27" t="n">
        <v>125</v>
      </c>
      <c r="C27" t="n">
        <v>0.3289899283371657</v>
      </c>
      <c r="E27" t="n">
        <v>0.8830222215594891</v>
      </c>
      <c r="G27" t="n">
        <v>0.3483911506149533</v>
      </c>
    </row>
    <row r="28">
      <c r="A28" t="n">
        <v>130</v>
      </c>
      <c r="B28" t="n">
        <v>0.3265306122448979</v>
      </c>
      <c r="C28" t="n">
        <v>0.4131759111665348</v>
      </c>
      <c r="D28" t="n">
        <v>0.9830508474576272</v>
      </c>
      <c r="E28" t="n">
        <v>0.9698463103929542</v>
      </c>
      <c r="F28" t="n">
        <v>0.5172413793103449</v>
      </c>
      <c r="G28" t="n">
        <v>0.4264709947917629</v>
      </c>
    </row>
    <row r="29">
      <c r="A29" t="n">
        <v>135</v>
      </c>
      <c r="C29" t="n">
        <v>0.4999999999999999</v>
      </c>
      <c r="D29" t="n">
        <v>1</v>
      </c>
      <c r="E29" t="n">
        <v>1</v>
      </c>
      <c r="F29" t="n">
        <v>0.5862068965517241</v>
      </c>
      <c r="G29" t="n">
        <v>0.4781830353737875</v>
      </c>
    </row>
    <row r="30">
      <c r="A30" t="n">
        <v>140</v>
      </c>
      <c r="B30" t="n">
        <v>0.4591836734693878</v>
      </c>
      <c r="C30" t="n">
        <v>0.5868240888334649</v>
      </c>
      <c r="D30" t="n">
        <v>0.9830508474576272</v>
      </c>
      <c r="E30" t="n">
        <v>0.9698463103929542</v>
      </c>
      <c r="F30" t="n">
        <v>0.6120689655172413</v>
      </c>
      <c r="G30" t="n">
        <v>0.4962625975822569</v>
      </c>
    </row>
    <row r="31">
      <c r="A31" t="n">
        <v>145</v>
      </c>
      <c r="C31" t="n">
        <v>0.6710100716628346</v>
      </c>
      <c r="E31" t="n">
        <v>0.8830222215594887</v>
      </c>
      <c r="G31" t="n">
        <v>0.4781830353737874</v>
      </c>
    </row>
    <row r="32">
      <c r="A32" t="n">
        <v>150</v>
      </c>
      <c r="B32" t="n">
        <v>0.5867346938775511</v>
      </c>
      <c r="C32" t="n">
        <v>0.7500000000000001</v>
      </c>
      <c r="D32" t="n">
        <v>0.7627118644067796</v>
      </c>
      <c r="E32" t="n">
        <v>0.7499999999999998</v>
      </c>
      <c r="F32" t="n">
        <v>0.5344827586206896</v>
      </c>
      <c r="G32" t="n">
        <v>0.4264709947917626</v>
      </c>
    </row>
    <row r="33">
      <c r="A33" t="n">
        <v>155</v>
      </c>
      <c r="C33" t="n">
        <v>0.8213938048432696</v>
      </c>
      <c r="E33" t="n">
        <v>0.5868240888334652</v>
      </c>
      <c r="G33" t="n">
        <v>0.3483911506149531</v>
      </c>
    </row>
    <row r="34">
      <c r="A34" t="n">
        <v>160</v>
      </c>
      <c r="B34" t="n">
        <v>0.6989795918367347</v>
      </c>
      <c r="C34" t="n">
        <v>0.8830222215594888</v>
      </c>
      <c r="D34" t="n">
        <v>0.6271186440677966</v>
      </c>
      <c r="E34" t="n">
        <v>0.413175911166535</v>
      </c>
      <c r="F34" t="n">
        <v>0.3275862068965517</v>
      </c>
      <c r="G34" t="n">
        <v>0.2550387611348352</v>
      </c>
    </row>
    <row r="35">
      <c r="A35" t="n">
        <v>165</v>
      </c>
      <c r="C35" t="n">
        <v>0.9330127018922192</v>
      </c>
      <c r="E35" t="n">
        <v>0.2500000000000004</v>
      </c>
      <c r="G35" t="n">
        <v>0.1599504408980245</v>
      </c>
    </row>
    <row r="36">
      <c r="A36" t="n">
        <v>170</v>
      </c>
      <c r="B36" t="n">
        <v>0.7908163265306123</v>
      </c>
      <c r="C36" t="n">
        <v>0.9698463103929541</v>
      </c>
      <c r="D36" t="n">
        <v>0.1440677966101695</v>
      </c>
      <c r="E36" t="n">
        <v>0.1169777784405108</v>
      </c>
      <c r="F36" t="n">
        <v>0.1120689655172414</v>
      </c>
      <c r="G36" t="n">
        <v>0.07740226158438612</v>
      </c>
    </row>
    <row r="37">
      <c r="A37" t="n">
        <v>175</v>
      </c>
      <c r="C37" t="n">
        <v>0.9924038765061041</v>
      </c>
      <c r="E37" t="n">
        <v>0.03015368960704578</v>
      </c>
      <c r="G37" t="n">
        <v>0.02060255728182221</v>
      </c>
    </row>
    <row r="38">
      <c r="A38" t="n">
        <v>180</v>
      </c>
      <c r="B38" t="n">
        <v>0.8112244897959183</v>
      </c>
      <c r="C38" t="n">
        <v>1</v>
      </c>
      <c r="D38" t="n">
        <v>0.01694915254237288</v>
      </c>
      <c r="E38" t="n">
        <v>1.500988736564979e-32</v>
      </c>
      <c r="F38" t="n">
        <v>0</v>
      </c>
      <c r="G38" t="n">
        <v>1.057942142513755e-32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Z44"/>
  <sheetViews>
    <sheetView tabSelected="1" zoomScale="60" zoomScaleNormal="60" zoomScaleSheetLayoutView="70" workbookViewId="0">
      <selection activeCell="G7" sqref="G7:G43"/>
    </sheetView>
  </sheetViews>
  <sheetFormatPr baseColWidth="8" defaultColWidth="8.875" defaultRowHeight="13.5"/>
  <cols>
    <col width="3.125" customWidth="1" style="29" min="1" max="1"/>
    <col width="10" customWidth="1" style="29" min="3" max="4"/>
    <col width="15.875" customWidth="1" style="29" min="5" max="6"/>
    <col width="17.5" customWidth="1" style="29" min="7" max="7"/>
    <col width="5" customWidth="1" style="29" min="17" max="17"/>
    <col width="3.375" customWidth="1" style="29" min="18" max="18"/>
    <col width="8.875" customWidth="1" style="29" min="26" max="26"/>
  </cols>
  <sheetData>
    <row r="1" ht="27.75" customHeight="1" s="29">
      <c r="B1" s="19" t="inlineStr">
        <is>
          <t>光と波動　　　データシート②  実験2　白色光の偏光特性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</row>
    <row r="2" ht="13.5" customHeight="1" s="29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13.5" customHeight="1" s="29"/>
    <row r="4">
      <c r="B4" s="0" t="inlineStr">
        <is>
          <t>・実験2-1 偏光板2枚</t>
        </is>
      </c>
      <c r="E4" s="9" t="n"/>
      <c r="F4" s="9" t="n"/>
    </row>
    <row r="5" ht="14.25" customHeight="1" s="29" thickBot="1">
      <c r="B5" s="25" t="inlineStr">
        <is>
          <t>表3-1</t>
        </is>
      </c>
      <c r="C5" s="30" t="n"/>
      <c r="D5" s="30" t="n"/>
      <c r="E5" s="30" t="n"/>
      <c r="F5" s="30" t="n"/>
      <c r="G5" s="30" t="n"/>
    </row>
    <row r="6" ht="28.5" customHeight="1" s="29">
      <c r="B6" s="1" t="inlineStr">
        <is>
          <t>角度
[degree]</t>
        </is>
      </c>
      <c r="C6" s="4" t="inlineStr">
        <is>
          <t>測定値
(μA)</t>
        </is>
      </c>
      <c r="D6" s="4" t="inlineStr">
        <is>
          <t>補正値
(μA)</t>
        </is>
      </c>
      <c r="E6" s="4" t="inlineStr">
        <is>
          <t>補正後の相対強度</t>
        </is>
      </c>
      <c r="F6" s="21" t="inlineStr">
        <is>
          <t>理論値</t>
        </is>
      </c>
      <c r="G6" s="2" t="inlineStr">
        <is>
          <t>理論値（相対強度）</t>
        </is>
      </c>
      <c r="S6" s="12" t="inlineStr">
        <is>
          <t>データのまとめ方</t>
        </is>
      </c>
      <c r="T6" s="13" t="n"/>
      <c r="U6" s="13" t="n"/>
      <c r="V6" s="13" t="n"/>
      <c r="W6" s="13" t="n"/>
      <c r="X6" s="13" t="n"/>
      <c r="Y6" s="13" t="n"/>
      <c r="Z6" s="14" t="n"/>
    </row>
    <row r="7" ht="15" customHeight="1" s="29" thickBot="1">
      <c r="B7" s="31" t="n">
        <v>0</v>
      </c>
      <c r="C7" s="32" t="n">
        <v>100</v>
      </c>
      <c r="D7" s="32">
        <f>C7-2</f>
        <v/>
      </c>
      <c r="E7" s="33">
        <f>D7/98</f>
        <v/>
      </c>
      <c r="F7" s="34">
        <f>COS(PI()/180*B7)^2</f>
        <v/>
      </c>
      <c r="G7" s="35">
        <f>F7</f>
        <v/>
      </c>
      <c r="S7" s="15" t="n"/>
      <c r="T7" s="16" t="n"/>
      <c r="U7" s="16" t="n"/>
      <c r="V7" s="16" t="n"/>
      <c r="W7" s="16" t="n"/>
      <c r="X7" s="16" t="n"/>
      <c r="Y7" s="16" t="n"/>
      <c r="Z7" s="17" t="n"/>
    </row>
    <row r="8" ht="13.5" customHeight="1" s="29">
      <c r="B8" s="31" t="n">
        <v>5</v>
      </c>
      <c r="C8" s="36" t="n"/>
      <c r="D8" s="36" t="n"/>
      <c r="E8" s="36" t="n"/>
      <c r="F8" s="34">
        <f>COS(PI()/180*B8)^2</f>
        <v/>
      </c>
      <c r="G8" s="35">
        <f>F8</f>
        <v/>
      </c>
      <c r="S8" s="26" t="inlineStr">
        <is>
          <t xml:space="preserve">STEP 1： 測定値（生データ）を入力する。測定値を入力する際は
　　　　　　対応する角度の行に入力する。（ピンク色のセル）。
　　　　　　注）　1.3.E-1 等の表示は 1.3×10-1を表している。
STEP 2： 各測定値から最小値を引く（補正値）。それらの相対強度を入力する。
　　　　　　相対強度は、補正後の測定値を最大値で割ることにより求めることができ
　　　　　　る。入力する際は対応する角度の行に入力する。（ピンク色のセル）。
STEP 3：[グループ2対象]　理論値を計算し、「理論値」列に計算値を入力する。
　　　　　　（緑色のセル）
ヒント：　[ =COS() ] でコサインの計算ができる。カッコ内はラジアン変換した後の
　　　　　値を入れる必要がある。　
　　　　　度  から　ラジアン　に変換するためには PI() をかけてから 180 で割る
 　　　   必要がある。
　　　　　（ex セル"B7"の角度をラジアンに変換する→　B7*PI()/180   ）
          以上より、 [ =COS(B7*PI()/180) ] をセルに入力するとセル"B7"に
　　　　　入力された角度におけるコサインの計算ができる。
</t>
        </is>
      </c>
      <c r="T8" s="37" t="n"/>
      <c r="U8" s="37" t="n"/>
      <c r="V8" s="37" t="n"/>
      <c r="W8" s="37" t="n"/>
      <c r="X8" s="37" t="n"/>
      <c r="Y8" s="37" t="n"/>
      <c r="Z8" s="37" t="n"/>
    </row>
    <row r="9" ht="13.5" customHeight="1" s="29">
      <c r="B9" s="31" t="n">
        <v>10</v>
      </c>
      <c r="C9" s="32" t="n">
        <v>99.90000000000001</v>
      </c>
      <c r="D9" s="32">
        <f>C9-2</f>
        <v/>
      </c>
      <c r="E9" s="33">
        <f>D9/98</f>
        <v/>
      </c>
      <c r="F9" s="34">
        <f>COS(PI()/180*B9)^2</f>
        <v/>
      </c>
      <c r="G9" s="35">
        <f>F9</f>
        <v/>
      </c>
    </row>
    <row r="10" ht="13.5" customHeight="1" s="29">
      <c r="B10" s="31" t="n">
        <v>15</v>
      </c>
      <c r="C10" s="36" t="n"/>
      <c r="D10" s="36" t="n"/>
      <c r="E10" s="36" t="n"/>
      <c r="F10" s="34">
        <f>COS(PI()/180*B10)^2</f>
        <v/>
      </c>
      <c r="G10" s="35">
        <f>F10</f>
        <v/>
      </c>
    </row>
    <row r="11" ht="13.5" customHeight="1" s="29">
      <c r="B11" s="31" t="n">
        <v>20</v>
      </c>
      <c r="C11" s="32" t="n">
        <v>92.5</v>
      </c>
      <c r="D11" s="32">
        <f>C11-2</f>
        <v/>
      </c>
      <c r="E11" s="33">
        <f>D11/98</f>
        <v/>
      </c>
      <c r="F11" s="34">
        <f>COS(PI()/180*B11)^2</f>
        <v/>
      </c>
      <c r="G11" s="35">
        <f>F11</f>
        <v/>
      </c>
    </row>
    <row r="12" ht="13.5" customHeight="1" s="29">
      <c r="B12" s="31" t="n">
        <v>25</v>
      </c>
      <c r="C12" s="36" t="n"/>
      <c r="D12" s="36" t="n"/>
      <c r="E12" s="36" t="n"/>
      <c r="F12" s="34">
        <f>COS(PI()/180*B12)^2</f>
        <v/>
      </c>
      <c r="G12" s="35">
        <f>F12</f>
        <v/>
      </c>
    </row>
    <row r="13" ht="13.5" customHeight="1" s="29">
      <c r="B13" s="31" t="n">
        <v>30</v>
      </c>
      <c r="C13" s="32" t="n">
        <v>78</v>
      </c>
      <c r="D13" s="32">
        <f>C13-2</f>
        <v/>
      </c>
      <c r="E13" s="33">
        <f>D13/98</f>
        <v/>
      </c>
      <c r="F13" s="34">
        <f>COS(PI()/180*B13)^2</f>
        <v/>
      </c>
      <c r="G13" s="35">
        <f>F13</f>
        <v/>
      </c>
    </row>
    <row r="14" ht="13.5" customHeight="1" s="29">
      <c r="B14" s="31" t="n">
        <v>35</v>
      </c>
      <c r="C14" s="36" t="n"/>
      <c r="D14" s="36" t="n"/>
      <c r="E14" s="36" t="n"/>
      <c r="F14" s="34">
        <f>COS(PI()/180*B14)^2</f>
        <v/>
      </c>
      <c r="G14" s="35">
        <f>F14</f>
        <v/>
      </c>
    </row>
    <row r="15" ht="14.25" customHeight="1" s="29">
      <c r="B15" s="31" t="n">
        <v>40</v>
      </c>
      <c r="C15" s="32" t="n">
        <v>61</v>
      </c>
      <c r="D15" s="32">
        <f>C15-2</f>
        <v/>
      </c>
      <c r="E15" s="33">
        <f>D15/98</f>
        <v/>
      </c>
      <c r="F15" s="34">
        <f>COS(PI()/180*B15)^2</f>
        <v/>
      </c>
      <c r="G15" s="35">
        <f>F15</f>
        <v/>
      </c>
    </row>
    <row r="16" ht="13.5" customHeight="1" s="29">
      <c r="B16" s="31" t="n">
        <v>45</v>
      </c>
      <c r="C16" s="36" t="n"/>
      <c r="D16" s="36" t="n"/>
      <c r="E16" s="36" t="n"/>
      <c r="F16" s="34">
        <f>COS(PI()/180*B16)^2</f>
        <v/>
      </c>
      <c r="G16" s="35">
        <f>F16</f>
        <v/>
      </c>
    </row>
    <row r="17" ht="13.5" customHeight="1" s="29">
      <c r="B17" s="31" t="n">
        <v>50</v>
      </c>
      <c r="C17" s="32" t="n">
        <v>44</v>
      </c>
      <c r="D17" s="32">
        <f>C17-2</f>
        <v/>
      </c>
      <c r="E17" s="33">
        <f>D17/98</f>
        <v/>
      </c>
      <c r="F17" s="34">
        <f>COS(PI()/180*B17)^2</f>
        <v/>
      </c>
      <c r="G17" s="35">
        <f>F17</f>
        <v/>
      </c>
    </row>
    <row r="18" ht="13.5" customHeight="1" s="29">
      <c r="B18" s="31" t="n">
        <v>55</v>
      </c>
      <c r="C18" s="36" t="n"/>
      <c r="D18" s="36" t="n"/>
      <c r="E18" s="36" t="n"/>
      <c r="F18" s="34">
        <f>COS(PI()/180*B18)^2</f>
        <v/>
      </c>
      <c r="G18" s="35">
        <f>F18</f>
        <v/>
      </c>
    </row>
    <row r="19" ht="13.5" customHeight="1" s="29">
      <c r="B19" s="31" t="n">
        <v>60</v>
      </c>
      <c r="C19" s="32" t="n">
        <v>28</v>
      </c>
      <c r="D19" s="32">
        <f>C19-2</f>
        <v/>
      </c>
      <c r="E19" s="33">
        <f>D19/98</f>
        <v/>
      </c>
      <c r="F19" s="34">
        <f>COS(PI()/180*B19)^2</f>
        <v/>
      </c>
      <c r="G19" s="35">
        <f>F19</f>
        <v/>
      </c>
    </row>
    <row r="20" ht="13.5" customHeight="1" s="29">
      <c r="B20" s="31" t="n">
        <v>65</v>
      </c>
      <c r="C20" s="36" t="n"/>
      <c r="D20" s="36" t="n"/>
      <c r="E20" s="36" t="n"/>
      <c r="F20" s="34">
        <f>COS(PI()/180*B20)^2</f>
        <v/>
      </c>
      <c r="G20" s="35">
        <f>F20</f>
        <v/>
      </c>
    </row>
    <row r="21" ht="13.5" customHeight="1" s="29">
      <c r="B21" s="31" t="n">
        <v>70</v>
      </c>
      <c r="C21" s="32" t="n">
        <v>14.5</v>
      </c>
      <c r="D21" s="32">
        <f>C21-2</f>
        <v/>
      </c>
      <c r="E21" s="33">
        <f>D21/98</f>
        <v/>
      </c>
      <c r="F21" s="34">
        <f>COS(PI()/180*B21)^2</f>
        <v/>
      </c>
      <c r="G21" s="35">
        <f>F21</f>
        <v/>
      </c>
    </row>
    <row r="22" ht="13.5" customHeight="1" s="29">
      <c r="B22" s="31" t="n">
        <v>75</v>
      </c>
      <c r="C22" s="36" t="n"/>
      <c r="D22" s="36" t="n"/>
      <c r="E22" s="36" t="n"/>
      <c r="F22" s="34">
        <f>COS(PI()/180*B22)^2</f>
        <v/>
      </c>
      <c r="G22" s="35">
        <f>F22</f>
        <v/>
      </c>
    </row>
    <row r="23" ht="13.5" customHeight="1" s="29">
      <c r="B23" s="31" t="n">
        <v>80</v>
      </c>
      <c r="C23" s="32" t="n">
        <v>6</v>
      </c>
      <c r="D23" s="32">
        <f>C23-2</f>
        <v/>
      </c>
      <c r="E23" s="33">
        <f>D23/98</f>
        <v/>
      </c>
      <c r="F23" s="34">
        <f>COS(PI()/180*B23)^2</f>
        <v/>
      </c>
      <c r="G23" s="35">
        <f>F23</f>
        <v/>
      </c>
    </row>
    <row r="24" ht="13.5" customHeight="1" s="29">
      <c r="B24" s="31" t="n">
        <v>85</v>
      </c>
      <c r="C24" s="32" t="n">
        <v>3</v>
      </c>
      <c r="D24" s="32">
        <f>C24-2</f>
        <v/>
      </c>
      <c r="E24" s="33">
        <f>D24/98</f>
        <v/>
      </c>
      <c r="F24" s="34">
        <f>COS(PI()/180*B24)^2</f>
        <v/>
      </c>
      <c r="G24" s="35">
        <f>F24</f>
        <v/>
      </c>
    </row>
    <row r="25" ht="13.5" customHeight="1" s="29">
      <c r="B25" s="31" t="n">
        <v>90</v>
      </c>
      <c r="C25" s="32" t="n">
        <v>2</v>
      </c>
      <c r="D25" s="32">
        <f>C25-2</f>
        <v/>
      </c>
      <c r="E25" s="33">
        <f>D25/98</f>
        <v/>
      </c>
      <c r="F25" s="34">
        <f>COS(PI()/180*B25)^2</f>
        <v/>
      </c>
      <c r="G25" s="35">
        <f>F25</f>
        <v/>
      </c>
    </row>
    <row r="26" ht="14.25" customHeight="1" s="29">
      <c r="B26" s="31" t="n">
        <v>95</v>
      </c>
      <c r="C26" s="38" t="n">
        <v>2</v>
      </c>
      <c r="D26" s="32">
        <f>C26-2</f>
        <v/>
      </c>
      <c r="E26" s="33">
        <f>D26/98</f>
        <v/>
      </c>
      <c r="F26" s="34">
        <f>COS(PI()/180*B26)^2</f>
        <v/>
      </c>
      <c r="G26" s="35">
        <f>F26</f>
        <v/>
      </c>
    </row>
    <row r="27" ht="14.1" customHeight="1" s="29">
      <c r="B27" s="31" t="n">
        <v>100</v>
      </c>
      <c r="C27" s="32" t="n">
        <v>3.8</v>
      </c>
      <c r="D27" s="32">
        <f>C27-2</f>
        <v/>
      </c>
      <c r="E27" s="33">
        <f>D27/98</f>
        <v/>
      </c>
      <c r="F27" s="34">
        <f>COS(PI()/180*B27)^2</f>
        <v/>
      </c>
      <c r="G27" s="35">
        <f>F27</f>
        <v/>
      </c>
    </row>
    <row r="28" ht="14.1" customHeight="1" s="29">
      <c r="B28" s="31" t="n">
        <v>105</v>
      </c>
      <c r="C28" s="36" t="n"/>
      <c r="D28" s="36" t="n"/>
      <c r="E28" s="36" t="n"/>
      <c r="F28" s="34">
        <f>COS(PI()/180*B28)^2</f>
        <v/>
      </c>
      <c r="G28" s="35">
        <f>F28</f>
        <v/>
      </c>
    </row>
    <row r="29" ht="14.1" customHeight="1" s="29">
      <c r="B29" s="31" t="n">
        <v>110</v>
      </c>
      <c r="C29" s="32" t="n">
        <v>10</v>
      </c>
      <c r="D29" s="32">
        <f>C29-2</f>
        <v/>
      </c>
      <c r="E29" s="33">
        <f>D29/98</f>
        <v/>
      </c>
      <c r="F29" s="34">
        <f>COS(PI()/180*B29)^2</f>
        <v/>
      </c>
      <c r="G29" s="35">
        <f>F29</f>
        <v/>
      </c>
    </row>
    <row r="30" ht="14.1" customHeight="1" s="29">
      <c r="B30" s="31" t="n">
        <v>115</v>
      </c>
      <c r="C30" s="36" t="n"/>
      <c r="D30" s="36" t="n"/>
      <c r="E30" s="36" t="n"/>
      <c r="F30" s="34">
        <f>COS(PI()/180*B30)^2</f>
        <v/>
      </c>
      <c r="G30" s="35">
        <f>F30</f>
        <v/>
      </c>
    </row>
    <row r="31" ht="14.1" customHeight="1" s="29">
      <c r="B31" s="31" t="n">
        <v>120</v>
      </c>
      <c r="C31" s="32" t="n">
        <v>21.5</v>
      </c>
      <c r="D31" s="32">
        <f>C31-2</f>
        <v/>
      </c>
      <c r="E31" s="33">
        <f>D31/98</f>
        <v/>
      </c>
      <c r="F31" s="34">
        <f>COS(PI()/180*B31)^2</f>
        <v/>
      </c>
      <c r="G31" s="35">
        <f>F31</f>
        <v/>
      </c>
    </row>
    <row r="32" ht="14.1" customHeight="1" s="29">
      <c r="B32" s="31" t="n">
        <v>125</v>
      </c>
      <c r="C32" s="36" t="n"/>
      <c r="D32" s="36" t="n"/>
      <c r="E32" s="36" t="n"/>
      <c r="F32" s="34">
        <f>COS(PI()/180*B32)^2</f>
        <v/>
      </c>
      <c r="G32" s="35">
        <f>F32</f>
        <v/>
      </c>
    </row>
    <row r="33" ht="14.1" customHeight="1" s="29">
      <c r="B33" s="31" t="n">
        <v>130</v>
      </c>
      <c r="C33" s="32" t="n">
        <v>34</v>
      </c>
      <c r="D33" s="32">
        <f>C33-2</f>
        <v/>
      </c>
      <c r="E33" s="33">
        <f>D33/98</f>
        <v/>
      </c>
      <c r="F33" s="34">
        <f>COS(PI()/180*B33)^2</f>
        <v/>
      </c>
      <c r="G33" s="35">
        <f>F33</f>
        <v/>
      </c>
    </row>
    <row r="34">
      <c r="B34" s="31" t="n">
        <v>135</v>
      </c>
      <c r="C34" s="36" t="n"/>
      <c r="D34" s="36" t="n"/>
      <c r="E34" s="36" t="n"/>
      <c r="F34" s="34">
        <f>COS(PI()/180*B34)^2</f>
        <v/>
      </c>
      <c r="G34" s="35">
        <f>F34</f>
        <v/>
      </c>
    </row>
    <row r="35">
      <c r="B35" s="31" t="n">
        <v>140</v>
      </c>
      <c r="C35" s="32" t="n">
        <v>47</v>
      </c>
      <c r="D35" s="32">
        <f>C35-2</f>
        <v/>
      </c>
      <c r="E35" s="33">
        <f>D35/98</f>
        <v/>
      </c>
      <c r="F35" s="34">
        <f>COS(PI()/180*B35)^2</f>
        <v/>
      </c>
      <c r="G35" s="35">
        <f>F35</f>
        <v/>
      </c>
    </row>
    <row r="36">
      <c r="B36" s="31" t="n">
        <v>145</v>
      </c>
      <c r="C36" s="36" t="n"/>
      <c r="D36" s="36" t="n"/>
      <c r="E36" s="36" t="n"/>
      <c r="F36" s="34">
        <f>COS(PI()/180*B36)^2</f>
        <v/>
      </c>
      <c r="G36" s="35">
        <f>F36</f>
        <v/>
      </c>
    </row>
    <row r="37">
      <c r="B37" s="31" t="n">
        <v>150</v>
      </c>
      <c r="C37" s="32" t="n">
        <v>59.5</v>
      </c>
      <c r="D37" s="32">
        <f>C37-2</f>
        <v/>
      </c>
      <c r="E37" s="33">
        <f>D37/98</f>
        <v/>
      </c>
      <c r="F37" s="34">
        <f>COS(PI()/180*B37)^2</f>
        <v/>
      </c>
      <c r="G37" s="35">
        <f>F37</f>
        <v/>
      </c>
    </row>
    <row r="38">
      <c r="B38" s="31" t="n">
        <v>155</v>
      </c>
      <c r="C38" s="36" t="n"/>
      <c r="D38" s="36" t="n"/>
      <c r="E38" s="36" t="n"/>
      <c r="F38" s="34">
        <f>COS(PI()/180*B38)^2</f>
        <v/>
      </c>
      <c r="G38" s="35">
        <f>F38</f>
        <v/>
      </c>
    </row>
    <row r="39">
      <c r="B39" s="31" t="n">
        <v>160</v>
      </c>
      <c r="C39" s="32" t="n">
        <v>70.5</v>
      </c>
      <c r="D39" s="32">
        <f>C39-2</f>
        <v/>
      </c>
      <c r="E39" s="33">
        <f>D39/98</f>
        <v/>
      </c>
      <c r="F39" s="34">
        <f>COS(PI()/180*B39)^2</f>
        <v/>
      </c>
      <c r="G39" s="35">
        <f>F39</f>
        <v/>
      </c>
    </row>
    <row r="40">
      <c r="B40" s="31" t="n">
        <v>165</v>
      </c>
      <c r="C40" s="36" t="n"/>
      <c r="D40" s="36" t="n"/>
      <c r="E40" s="36" t="n"/>
      <c r="F40" s="34">
        <f>COS(PI()/180*B40)^2</f>
        <v/>
      </c>
      <c r="G40" s="35">
        <f>F40</f>
        <v/>
      </c>
    </row>
    <row r="41">
      <c r="B41" s="31" t="n">
        <v>170</v>
      </c>
      <c r="C41" s="32" t="n">
        <v>79.5</v>
      </c>
      <c r="D41" s="32">
        <f>C41-2</f>
        <v/>
      </c>
      <c r="E41" s="33">
        <f>D41/98</f>
        <v/>
      </c>
      <c r="F41" s="34">
        <f>COS(PI()/180*B41)^2</f>
        <v/>
      </c>
      <c r="G41" s="35">
        <f>F41</f>
        <v/>
      </c>
    </row>
    <row r="42">
      <c r="B42" s="31" t="n">
        <v>175</v>
      </c>
      <c r="C42" s="36" t="n"/>
      <c r="D42" s="36" t="n"/>
      <c r="E42" s="36" t="n"/>
      <c r="F42" s="34">
        <f>COS(PI()/180*B42)^2</f>
        <v/>
      </c>
      <c r="G42" s="35">
        <f>F42</f>
        <v/>
      </c>
    </row>
    <row r="43">
      <c r="B43" s="31" t="n">
        <v>180</v>
      </c>
      <c r="C43" s="32" t="n">
        <v>81.5</v>
      </c>
      <c r="D43" s="32">
        <f>C43-2</f>
        <v/>
      </c>
      <c r="E43" s="33">
        <f>D43/98</f>
        <v/>
      </c>
      <c r="F43" s="34">
        <f>COS(PI()/180*B43)^2</f>
        <v/>
      </c>
      <c r="G43" s="35">
        <f>F43</f>
        <v/>
      </c>
    </row>
    <row r="44">
      <c r="G44" s="18" t="inlineStr">
        <is>
          <t>※理論値は全ての角度について入力する（グループ2）</t>
        </is>
      </c>
    </row>
  </sheetData>
  <mergeCells count="2">
    <mergeCell ref="B5:G5"/>
    <mergeCell ref="S8:Z33"/>
  </mergeCells>
  <pageMargins left="0.7874015748031497" right="0" top="0" bottom="0" header="0.3149606299212598" footer="0.3149606299212598"/>
  <pageSetup orientation="portrait" paperSize="9" scale="56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Z46"/>
  <sheetViews>
    <sheetView topLeftCell="E1" zoomScaleNormal="100" zoomScaleSheetLayoutView="70" workbookViewId="0">
      <selection activeCell="F7" sqref="F7:F43"/>
    </sheetView>
  </sheetViews>
  <sheetFormatPr baseColWidth="8" defaultColWidth="8.875" defaultRowHeight="13.5"/>
  <cols>
    <col width="3.125" customWidth="1" style="29" min="1" max="1"/>
    <col width="10" customWidth="1" style="29" min="3" max="4"/>
    <col width="15.875" customWidth="1" style="29" min="5" max="6"/>
    <col width="17.5" customWidth="1" style="29" min="7" max="7"/>
    <col width="5" customWidth="1" style="29" min="17" max="17"/>
    <col width="3.375" customWidth="1" style="29" min="18" max="18"/>
    <col width="8.875" customWidth="1" style="29" min="26" max="26"/>
  </cols>
  <sheetData>
    <row r="1" ht="27.75" customHeight="1" s="29">
      <c r="B1" s="19" t="inlineStr">
        <is>
          <t>光と波動　　　データシート②  実験2　白色光の偏光特性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</row>
    <row r="2" ht="13.5" customHeight="1" s="29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13.5" customHeight="1" s="29"/>
    <row r="4">
      <c r="B4" s="0" t="inlineStr">
        <is>
          <t>・実験2-2 偏光板3枚（α=0°）</t>
        </is>
      </c>
      <c r="E4" s="9" t="n"/>
    </row>
    <row r="5" ht="14.25" customHeight="1" s="29" thickBot="1">
      <c r="B5" s="25" t="inlineStr">
        <is>
          <t>表3-2</t>
        </is>
      </c>
      <c r="C5" s="30" t="n"/>
      <c r="D5" s="30" t="n"/>
      <c r="E5" s="30" t="n"/>
      <c r="F5" s="30" t="n"/>
      <c r="G5" s="23" t="n"/>
    </row>
    <row r="6" ht="28.5" customHeight="1" s="29">
      <c r="B6" s="1" t="inlineStr">
        <is>
          <t>角度
[degree]</t>
        </is>
      </c>
      <c r="C6" s="4" t="inlineStr">
        <is>
          <t>測定値
(μA)</t>
        </is>
      </c>
      <c r="D6" s="4" t="inlineStr">
        <is>
          <t>補正値
(μA)</t>
        </is>
      </c>
      <c r="E6" s="4" t="inlineStr">
        <is>
          <t>補正後の相対強度</t>
        </is>
      </c>
      <c r="F6" s="21" t="inlineStr">
        <is>
          <t>理論値</t>
        </is>
      </c>
      <c r="G6" s="2" t="inlineStr">
        <is>
          <t>理論値（相対強度）</t>
        </is>
      </c>
      <c r="S6" s="12" t="inlineStr">
        <is>
          <t>データのまとめ方</t>
        </is>
      </c>
      <c r="T6" s="13" t="n"/>
      <c r="U6" s="13" t="n"/>
      <c r="V6" s="13" t="n"/>
      <c r="W6" s="13" t="n"/>
      <c r="X6" s="13" t="n"/>
      <c r="Y6" s="13" t="n"/>
      <c r="Z6" s="14" t="n"/>
    </row>
    <row r="7" ht="15" customHeight="1" s="29" thickBot="1">
      <c r="B7" s="31" t="n">
        <v>0</v>
      </c>
      <c r="C7" s="32" t="n">
        <v>3.5</v>
      </c>
      <c r="D7" s="32">
        <f>C7-2</f>
        <v/>
      </c>
      <c r="E7" s="33">
        <f>D7/59</f>
        <v/>
      </c>
      <c r="F7" s="34">
        <f>COS(PI()/180*B7)^2*COS(PI()/2-PI()/180*B7)^2/0.25</f>
        <v/>
      </c>
      <c r="G7" s="35">
        <f>F7/0.25</f>
        <v/>
      </c>
      <c r="S7" s="15" t="n"/>
      <c r="T7" s="16" t="n"/>
      <c r="U7" s="16" t="n"/>
      <c r="V7" s="16" t="n"/>
      <c r="W7" s="16" t="n"/>
      <c r="X7" s="16" t="n"/>
      <c r="Y7" s="16" t="n"/>
      <c r="Z7" s="17" t="n"/>
    </row>
    <row r="8" ht="13.5" customHeight="1" s="29">
      <c r="B8" s="31" t="n">
        <v>5</v>
      </c>
      <c r="C8" s="36" t="n"/>
      <c r="D8" s="36" t="n"/>
      <c r="E8" s="39" t="n"/>
      <c r="F8" s="34">
        <f>COS(PI()/180*B8)^2*COS(PI()/2-PI()/180*B8)^2/0.25</f>
        <v/>
      </c>
      <c r="G8" s="35">
        <f>F8/0.25</f>
        <v/>
      </c>
      <c r="S8" s="26" t="inlineStr">
        <is>
          <t xml:space="preserve">STEP 1： 測定値（生データ）を入力する。測定値を入力する際は
　　　　　　対応する角度の行に入力する。（ピンク色のセル）。
　　　　　　注）　1.3.E-1 等の表示は 1.3×10-1を表している。
STEP 2： 各測定値から最小値を引く（補正値）。それらの相対強度を入力する。
　　　　　　相対強度は、補正後の測定値を最大値で割ることにより求めることができ
　　　　　　る。入力する際は対応する角度の行に入力する。（ピンク色のセル）。
STEP 3：[グループ2対象]　理論値を計算し、「理論値」列に計算値を入力する。
　　　　　　（緑色のセル）
ヒント：　[ =COS() ] でコサインの計算ができる。カッコ内はラジアン変換した後の
　　　　　値を入れる必要がある。　
　　　　　度  から　ラジアン　に変換するためには PI() をかけてから 180 で割る
 　　　   必要がある。
　　　　　（ex セル"B7"の角度をラジアンに変換する→　B7*PI()/180   ）
          以上より、 [ =COS(B7*PI()/180) ] をセルに入力するとセル"B7"に
　　　　　入力された角度におけるコサインの計算ができる。
</t>
        </is>
      </c>
      <c r="T8" s="37" t="n"/>
      <c r="U8" s="37" t="n"/>
      <c r="V8" s="37" t="n"/>
      <c r="W8" s="37" t="n"/>
      <c r="X8" s="37" t="n"/>
      <c r="Y8" s="37" t="n"/>
      <c r="Z8" s="37" t="n"/>
    </row>
    <row r="9" ht="13.5" customHeight="1" s="29">
      <c r="B9" s="31" t="n">
        <v>10</v>
      </c>
      <c r="C9" s="32" t="n">
        <v>18</v>
      </c>
      <c r="D9" s="32">
        <f>C9-2</f>
        <v/>
      </c>
      <c r="E9" s="33">
        <f>D9/59</f>
        <v/>
      </c>
      <c r="F9" s="34">
        <f>COS(PI()/180*B9)^2*COS(PI()/2-PI()/180*B9)^2/0.25</f>
        <v/>
      </c>
      <c r="G9" s="35">
        <f>F9/0.25</f>
        <v/>
      </c>
    </row>
    <row r="10" ht="13.5" customHeight="1" s="29">
      <c r="B10" s="31" t="n">
        <v>15</v>
      </c>
      <c r="C10" s="36" t="n"/>
      <c r="D10" s="36" t="n"/>
      <c r="E10" s="39" t="n"/>
      <c r="F10" s="34">
        <f>COS(PI()/180*B10)^2*COS(PI()/2-PI()/180*B10)^2/0.25</f>
        <v/>
      </c>
      <c r="G10" s="35">
        <f>F10/0.25</f>
        <v/>
      </c>
    </row>
    <row r="11" ht="13.5" customHeight="1" s="29">
      <c r="B11" s="31" t="n">
        <v>20</v>
      </c>
      <c r="C11" s="32" t="n">
        <v>24</v>
      </c>
      <c r="D11" s="32">
        <f>C11-2</f>
        <v/>
      </c>
      <c r="E11" s="33">
        <f>D11/59</f>
        <v/>
      </c>
      <c r="F11" s="34">
        <f>COS(PI()/180*B11)^2*COS(PI()/2-PI()/180*B11)^2/0.25</f>
        <v/>
      </c>
      <c r="G11" s="35">
        <f>F11/0.25</f>
        <v/>
      </c>
    </row>
    <row r="12" ht="13.5" customHeight="1" s="29">
      <c r="B12" s="31" t="n">
        <v>25</v>
      </c>
      <c r="C12" s="36" t="n"/>
      <c r="D12" s="36" t="n"/>
      <c r="E12" s="39" t="n"/>
      <c r="F12" s="34">
        <f>COS(PI()/180*B12)^2*COS(PI()/2-PI()/180*B12)^2/0.25</f>
        <v/>
      </c>
      <c r="G12" s="35">
        <f>F12/0.25</f>
        <v/>
      </c>
    </row>
    <row r="13" ht="13.5" customHeight="1" s="29">
      <c r="B13" s="31" t="n">
        <v>30</v>
      </c>
      <c r="C13" s="32" t="n">
        <v>43.5</v>
      </c>
      <c r="D13" s="32">
        <f>C13-2</f>
        <v/>
      </c>
      <c r="E13" s="33">
        <f>D13/59</f>
        <v/>
      </c>
      <c r="F13" s="34">
        <f>COS(PI()/180*B13)^2*COS(PI()/2-PI()/180*B13)^2/0.25</f>
        <v/>
      </c>
      <c r="G13" s="35">
        <f>F13/0.25</f>
        <v/>
      </c>
    </row>
    <row r="14" ht="13.5" customHeight="1" s="29">
      <c r="B14" s="31" t="n">
        <v>35</v>
      </c>
      <c r="C14" s="36" t="n"/>
      <c r="D14" s="36" t="n"/>
      <c r="E14" s="39" t="n"/>
      <c r="F14" s="34">
        <f>COS(PI()/180*B14)^2*COS(PI()/2-PI()/180*B14)^2/0.25</f>
        <v/>
      </c>
      <c r="G14" s="35">
        <f>F14/0.25</f>
        <v/>
      </c>
    </row>
    <row r="15" ht="14.25" customHeight="1" s="29">
      <c r="B15" s="31" t="n">
        <v>40</v>
      </c>
      <c r="C15" s="32" t="n">
        <v>56.5</v>
      </c>
      <c r="D15" s="32">
        <f>C15-2</f>
        <v/>
      </c>
      <c r="E15" s="33">
        <f>D15/59</f>
        <v/>
      </c>
      <c r="F15" s="34">
        <f>COS(PI()/180*B15)^2*COS(PI()/2-PI()/180*B15)^2/0.25</f>
        <v/>
      </c>
      <c r="G15" s="35">
        <f>F15/0.25</f>
        <v/>
      </c>
    </row>
    <row r="16" ht="13.5" customHeight="1" s="29">
      <c r="B16" s="31" t="n">
        <v>45</v>
      </c>
      <c r="C16" s="32" t="n">
        <v>59</v>
      </c>
      <c r="D16" s="32">
        <f>C16-2</f>
        <v/>
      </c>
      <c r="E16" s="33">
        <f>D16/59</f>
        <v/>
      </c>
      <c r="F16" s="34">
        <f>COS(PI()/180*B16)^2*COS(PI()/2-PI()/180*B16)^2/0.25</f>
        <v/>
      </c>
      <c r="G16" s="35">
        <f>F16/0.25</f>
        <v/>
      </c>
    </row>
    <row r="17" ht="13.5" customHeight="1" s="29">
      <c r="B17" s="31" t="n">
        <v>50</v>
      </c>
      <c r="C17" s="32" t="n">
        <v>58</v>
      </c>
      <c r="D17" s="32">
        <f>C17-2</f>
        <v/>
      </c>
      <c r="E17" s="33">
        <f>D17/59</f>
        <v/>
      </c>
      <c r="F17" s="34">
        <f>COS(PI()/180*B17)^2*COS(PI()/2-PI()/180*B17)^2/0.25</f>
        <v/>
      </c>
      <c r="G17" s="35">
        <f>F17/0.25</f>
        <v/>
      </c>
    </row>
    <row r="18" ht="13.5" customHeight="1" s="29">
      <c r="B18" s="31" t="n">
        <v>55</v>
      </c>
      <c r="C18" s="36" t="n"/>
      <c r="D18" s="36" t="n"/>
      <c r="E18" s="39" t="n"/>
      <c r="F18" s="34">
        <f>COS(PI()/180*B18)^2*COS(PI()/2-PI()/180*B18)^2/0.25</f>
        <v/>
      </c>
      <c r="G18" s="35">
        <f>F18/0.25</f>
        <v/>
      </c>
    </row>
    <row r="19" ht="13.5" customHeight="1" s="29">
      <c r="B19" s="31" t="n">
        <v>60</v>
      </c>
      <c r="C19" s="32" t="n">
        <v>46.5</v>
      </c>
      <c r="D19" s="32">
        <f>C19-2</f>
        <v/>
      </c>
      <c r="E19" s="33">
        <f>D19/59</f>
        <v/>
      </c>
      <c r="F19" s="34">
        <f>COS(PI()/180*B19)^2*COS(PI()/2-PI()/180*B19)^2/0.25</f>
        <v/>
      </c>
      <c r="G19" s="35">
        <f>F19/0.25</f>
        <v/>
      </c>
    </row>
    <row r="20" ht="13.5" customHeight="1" s="29">
      <c r="B20" s="31" t="n">
        <v>65</v>
      </c>
      <c r="C20" s="36" t="n"/>
      <c r="D20" s="36" t="n"/>
      <c r="E20" s="39" t="n"/>
      <c r="F20" s="34">
        <f>COS(PI()/180*B20)^2*COS(PI()/2-PI()/180*B20)^2/0.25</f>
        <v/>
      </c>
      <c r="G20" s="35">
        <f>F20/0.25</f>
        <v/>
      </c>
    </row>
    <row r="21" ht="13.5" customHeight="1" s="29">
      <c r="B21" s="31" t="n">
        <v>70</v>
      </c>
      <c r="C21" s="32" t="n">
        <v>26.5</v>
      </c>
      <c r="D21" s="32">
        <f>C21-2</f>
        <v/>
      </c>
      <c r="E21" s="33">
        <f>D21/59</f>
        <v/>
      </c>
      <c r="F21" s="34">
        <f>COS(PI()/180*B21)^2*COS(PI()/2-PI()/180*B21)^2/0.25</f>
        <v/>
      </c>
      <c r="G21" s="35">
        <f>F21/0.25</f>
        <v/>
      </c>
    </row>
    <row r="22" ht="13.5" customHeight="1" s="29">
      <c r="B22" s="31" t="n">
        <v>75</v>
      </c>
      <c r="C22" s="36" t="n"/>
      <c r="D22" s="36" t="n"/>
      <c r="E22" s="39" t="n"/>
      <c r="F22" s="34">
        <f>COS(PI()/180*B22)^2*COS(PI()/2-PI()/180*B22)^2/0.25</f>
        <v/>
      </c>
      <c r="G22" s="35">
        <f>F22/0.25</f>
        <v/>
      </c>
    </row>
    <row r="23" ht="13.5" customHeight="1" s="29">
      <c r="B23" s="31" t="n">
        <v>80</v>
      </c>
      <c r="C23" s="32" t="n">
        <v>10</v>
      </c>
      <c r="D23" s="32">
        <f>C23-2</f>
        <v/>
      </c>
      <c r="E23" s="33">
        <f>D23/59</f>
        <v/>
      </c>
      <c r="F23" s="34">
        <f>COS(PI()/180*B23)^2*COS(PI()/2-PI()/180*B23)^2/0.25</f>
        <v/>
      </c>
      <c r="G23" s="35">
        <f>F23/0.25</f>
        <v/>
      </c>
    </row>
    <row r="24" ht="13.5" customHeight="1" s="29">
      <c r="B24" s="31" t="n">
        <v>85</v>
      </c>
      <c r="C24" s="32" t="n">
        <v>4.5</v>
      </c>
      <c r="D24" s="32">
        <f>C24-2</f>
        <v/>
      </c>
      <c r="E24" s="33">
        <f>D24/59</f>
        <v/>
      </c>
      <c r="F24" s="34">
        <f>COS(PI()/180*B24)^2*COS(PI()/2-PI()/180*B24)^2/0.25</f>
        <v/>
      </c>
      <c r="G24" s="35">
        <f>F24/0.25</f>
        <v/>
      </c>
    </row>
    <row r="25" ht="13.5" customHeight="1" s="29">
      <c r="B25" s="31" t="n">
        <v>90</v>
      </c>
      <c r="C25" s="32" t="n">
        <v>2</v>
      </c>
      <c r="D25" s="32">
        <f>C25-2</f>
        <v/>
      </c>
      <c r="E25" s="33">
        <f>D25/59</f>
        <v/>
      </c>
      <c r="F25" s="34">
        <f>COS(PI()/180*B25)^2*COS(PI()/2-PI()/180*B25)^2/0.25</f>
        <v/>
      </c>
      <c r="G25" s="35">
        <f>F25/0.25</f>
        <v/>
      </c>
    </row>
    <row r="26" ht="14.25" customHeight="1" s="29">
      <c r="B26" s="31" t="n">
        <v>95</v>
      </c>
      <c r="C26" s="38" t="n">
        <v>4</v>
      </c>
      <c r="D26" s="32">
        <f>C26-2</f>
        <v/>
      </c>
      <c r="E26" s="33">
        <f>D26/59</f>
        <v/>
      </c>
      <c r="F26" s="34">
        <f>COS(PI()/180*B26)^2*COS(PI()/2-PI()/180*B26)^2/0.25</f>
        <v/>
      </c>
      <c r="G26" s="35">
        <f>F26/0.25</f>
        <v/>
      </c>
    </row>
    <row r="27" ht="14.1" customHeight="1" s="29">
      <c r="B27" s="31" t="n">
        <v>100</v>
      </c>
      <c r="C27" s="32" t="n">
        <v>8</v>
      </c>
      <c r="D27" s="32">
        <f>C27-2</f>
        <v/>
      </c>
      <c r="E27" s="33">
        <f>D27/59</f>
        <v/>
      </c>
      <c r="F27" s="34">
        <f>COS(PI()/180*B27)^2*COS(PI()/2-PI()/180*B27)^2/0.25</f>
        <v/>
      </c>
      <c r="G27" s="35">
        <f>F27/0.25</f>
        <v/>
      </c>
    </row>
    <row r="28" ht="14.1" customHeight="1" s="29">
      <c r="B28" s="31" t="n">
        <v>105</v>
      </c>
      <c r="C28" s="36" t="n"/>
      <c r="D28" s="36" t="n"/>
      <c r="E28" s="39" t="n"/>
      <c r="F28" s="34">
        <f>COS(PI()/180*B28)^2*COS(PI()/2-PI()/180*B28)^2/0.25</f>
        <v/>
      </c>
      <c r="G28" s="35">
        <f>F28/0.25</f>
        <v/>
      </c>
    </row>
    <row r="29" ht="14.1" customHeight="1" s="29">
      <c r="B29" s="31" t="n">
        <v>110</v>
      </c>
      <c r="C29" s="32" t="n">
        <v>24</v>
      </c>
      <c r="D29" s="32">
        <f>C29-2</f>
        <v/>
      </c>
      <c r="E29" s="33">
        <f>D29/59</f>
        <v/>
      </c>
      <c r="F29" s="34">
        <f>COS(PI()/180*B29)^2*COS(PI()/2-PI()/180*B29)^2/0.25</f>
        <v/>
      </c>
      <c r="G29" s="35">
        <f>F29/0.25</f>
        <v/>
      </c>
    </row>
    <row r="30" ht="14.1" customHeight="1" s="29">
      <c r="B30" s="31" t="n">
        <v>115</v>
      </c>
      <c r="C30" s="36" t="n"/>
      <c r="D30" s="36" t="n"/>
      <c r="E30" s="39" t="n"/>
      <c r="F30" s="34">
        <f>COS(PI()/180*B30)^2*COS(PI()/2-PI()/180*B30)^2/0.25</f>
        <v/>
      </c>
      <c r="G30" s="35">
        <f>F30/0.25</f>
        <v/>
      </c>
    </row>
    <row r="31" ht="14.1" customHeight="1" s="29">
      <c r="B31" s="31" t="n">
        <v>120</v>
      </c>
      <c r="C31" s="32" t="n">
        <v>42.5</v>
      </c>
      <c r="D31" s="32">
        <f>C31-2</f>
        <v/>
      </c>
      <c r="E31" s="33">
        <f>D31/59</f>
        <v/>
      </c>
      <c r="F31" s="34">
        <f>COS(PI()/180*B31)^2*COS(PI()/2-PI()/180*B31)^2/0.25</f>
        <v/>
      </c>
      <c r="G31" s="35">
        <f>F31/0.25</f>
        <v/>
      </c>
    </row>
    <row r="32" ht="14.1" customHeight="1" s="29">
      <c r="B32" s="31" t="n">
        <v>125</v>
      </c>
      <c r="C32" s="36" t="n"/>
      <c r="D32" s="36" t="n"/>
      <c r="E32" s="39" t="n"/>
      <c r="F32" s="34">
        <f>COS(PI()/180*B32)^2*COS(PI()/2-PI()/180*B32)^2/0.25</f>
        <v/>
      </c>
      <c r="G32" s="35">
        <f>F32/0.25</f>
        <v/>
      </c>
    </row>
    <row r="33" ht="14.1" customHeight="1" s="29">
      <c r="B33" s="31" t="n">
        <v>130</v>
      </c>
      <c r="C33" s="32" t="n">
        <v>60</v>
      </c>
      <c r="D33" s="32">
        <f>C33-2</f>
        <v/>
      </c>
      <c r="E33" s="33">
        <f>D33/59</f>
        <v/>
      </c>
      <c r="F33" s="34">
        <f>COS(PI()/180*B33)^2*COS(PI()/2-PI()/180*B33)^2/0.25</f>
        <v/>
      </c>
      <c r="G33" s="35">
        <f>F33/0.25</f>
        <v/>
      </c>
    </row>
    <row r="34">
      <c r="B34" s="31" t="n">
        <v>135</v>
      </c>
      <c r="C34" s="38" t="n">
        <v>61</v>
      </c>
      <c r="D34" s="32">
        <f>C34-2</f>
        <v/>
      </c>
      <c r="E34" s="33">
        <f>D34/59</f>
        <v/>
      </c>
      <c r="F34" s="34">
        <f>COS(PI()/180*B34)^2*COS(PI()/2-PI()/180*B34)^2/0.25</f>
        <v/>
      </c>
      <c r="G34" s="35">
        <f>F34/0.25</f>
        <v/>
      </c>
    </row>
    <row r="35">
      <c r="B35" s="31" t="n">
        <v>140</v>
      </c>
      <c r="C35" s="32" t="n">
        <v>60</v>
      </c>
      <c r="D35" s="32">
        <f>C35-2</f>
        <v/>
      </c>
      <c r="E35" s="33">
        <f>D35/59</f>
        <v/>
      </c>
      <c r="F35" s="34">
        <f>COS(PI()/180*B35)^2*COS(PI()/2-PI()/180*B35)^2/0.25</f>
        <v/>
      </c>
      <c r="G35" s="35">
        <f>F35/0.25</f>
        <v/>
      </c>
    </row>
    <row r="36">
      <c r="B36" s="31" t="n">
        <v>145</v>
      </c>
      <c r="C36" s="36" t="n"/>
      <c r="D36" s="36" t="n"/>
      <c r="E36" s="39" t="n"/>
      <c r="F36" s="34">
        <f>COS(PI()/180*B36)^2*COS(PI()/2-PI()/180*B36)^2/0.25</f>
        <v/>
      </c>
      <c r="G36" s="35">
        <f>F36/0.25</f>
        <v/>
      </c>
    </row>
    <row r="37">
      <c r="B37" s="31" t="n">
        <v>150</v>
      </c>
      <c r="C37" s="32" t="n">
        <v>47</v>
      </c>
      <c r="D37" s="32">
        <f>C37-2</f>
        <v/>
      </c>
      <c r="E37" s="33">
        <f>D37/59</f>
        <v/>
      </c>
      <c r="F37" s="34">
        <f>COS(PI()/180*B37)^2*COS(PI()/2-PI()/180*B37)^2/0.25</f>
        <v/>
      </c>
      <c r="G37" s="35">
        <f>F37/0.25</f>
        <v/>
      </c>
    </row>
    <row r="38">
      <c r="B38" s="31" t="n">
        <v>155</v>
      </c>
      <c r="C38" s="36" t="n"/>
      <c r="D38" s="36" t="n"/>
      <c r="E38" s="39" t="n"/>
      <c r="F38" s="34">
        <f>COS(PI()/180*B38)^2*COS(PI()/2-PI()/180*B38)^2/0.25</f>
        <v/>
      </c>
      <c r="G38" s="35">
        <f>F38/0.25</f>
        <v/>
      </c>
    </row>
    <row r="39">
      <c r="B39" s="31" t="n">
        <v>160</v>
      </c>
      <c r="C39" s="32" t="n">
        <v>39</v>
      </c>
      <c r="D39" s="32">
        <f>C39-2</f>
        <v/>
      </c>
      <c r="E39" s="33">
        <f>D39/59</f>
        <v/>
      </c>
      <c r="F39" s="34">
        <f>COS(PI()/180*B39)^2*COS(PI()/2-PI()/180*B39)^2/0.25</f>
        <v/>
      </c>
      <c r="G39" s="35">
        <f>F39/0.25</f>
        <v/>
      </c>
    </row>
    <row r="40">
      <c r="B40" s="31" t="n">
        <v>165</v>
      </c>
      <c r="C40" s="36" t="n"/>
      <c r="D40" s="36" t="n"/>
      <c r="E40" s="39" t="n"/>
      <c r="F40" s="34">
        <f>COS(PI()/180*B40)^2*COS(PI()/2-PI()/180*B40)^2/0.25</f>
        <v/>
      </c>
      <c r="G40" s="35">
        <f>F40/0.25</f>
        <v/>
      </c>
    </row>
    <row r="41">
      <c r="B41" s="31" t="n">
        <v>170</v>
      </c>
      <c r="C41" s="32" t="n">
        <v>10.5</v>
      </c>
      <c r="D41" s="32">
        <f>C41-2</f>
        <v/>
      </c>
      <c r="E41" s="33">
        <f>D41/59</f>
        <v/>
      </c>
      <c r="F41" s="34">
        <f>COS(PI()/180*B41)^2*COS(PI()/2-PI()/180*B41)^2/0.25</f>
        <v/>
      </c>
      <c r="G41" s="35">
        <f>F41/0.25</f>
        <v/>
      </c>
    </row>
    <row r="42">
      <c r="B42" s="31" t="n">
        <v>175</v>
      </c>
      <c r="C42" s="36" t="n"/>
      <c r="D42" s="36" t="n"/>
      <c r="E42" s="39" t="n"/>
      <c r="F42" s="34">
        <f>COS(PI()/180*B42)^2*COS(PI()/2-PI()/180*B42)^2/0.25</f>
        <v/>
      </c>
      <c r="G42" s="35">
        <f>F42/0.25</f>
        <v/>
      </c>
    </row>
    <row r="43">
      <c r="B43" s="31" t="n">
        <v>180</v>
      </c>
      <c r="C43" s="32" t="n">
        <v>3</v>
      </c>
      <c r="D43" s="32">
        <f>C43-2</f>
        <v/>
      </c>
      <c r="E43" s="33">
        <f>D43/59</f>
        <v/>
      </c>
      <c r="F43" s="34">
        <f>COS(PI()/180*B43)^2*COS(PI()/2-PI()/180*B43)^2/0.25</f>
        <v/>
      </c>
      <c r="G43" s="35">
        <f>F43/0.25</f>
        <v/>
      </c>
    </row>
    <row r="44">
      <c r="F44" s="18" t="inlineStr">
        <is>
          <t>※理論値は全ての角度について入力する（グループ2）</t>
        </is>
      </c>
      <c r="G44" s="18" t="n"/>
    </row>
    <row r="46">
      <c r="F46" s="40">
        <f>MAX(F7:F43)</f>
        <v/>
      </c>
    </row>
  </sheetData>
  <mergeCells count="2">
    <mergeCell ref="S8:Z33"/>
    <mergeCell ref="B5:F5"/>
  </mergeCells>
  <pageMargins left="0.7874015748031497" right="0" top="0" bottom="0" header="0.3149606299212598" footer="0.3149606299212598"/>
  <pageSetup orientation="portrait" paperSize="9" scale="56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Z47"/>
  <sheetViews>
    <sheetView zoomScale="50" zoomScaleNormal="50" zoomScaleSheetLayoutView="70" workbookViewId="0">
      <selection activeCell="I38" sqref="I38"/>
    </sheetView>
  </sheetViews>
  <sheetFormatPr baseColWidth="8" defaultColWidth="8.875" defaultRowHeight="13.5"/>
  <cols>
    <col width="3.125" customWidth="1" style="29" min="1" max="1"/>
    <col width="10" customWidth="1" style="29" min="3" max="4"/>
    <col width="15.875" customWidth="1" style="29" min="5" max="6"/>
    <col width="17.5" customWidth="1" style="29" min="7" max="7"/>
    <col width="5" customWidth="1" style="29" min="17" max="17"/>
    <col width="3.375" customWidth="1" style="29" min="18" max="18"/>
    <col width="8.875" customWidth="1" style="29" min="26" max="26"/>
  </cols>
  <sheetData>
    <row r="1" ht="27.75" customHeight="1" s="29">
      <c r="B1" s="19" t="inlineStr">
        <is>
          <t>光と波動　　　データシート②  実験2　白色光の偏光特性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</row>
    <row r="2" ht="13.5" customHeight="1" s="29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13.5" customHeight="1" s="29"/>
    <row r="4">
      <c r="B4" s="0" t="inlineStr">
        <is>
          <t>・実験2-3 偏光板3枚（α=10°）</t>
        </is>
      </c>
      <c r="E4" s="9" t="n"/>
    </row>
    <row r="5" ht="14.25" customHeight="1" s="29" thickBot="1">
      <c r="B5" s="25" t="inlineStr">
        <is>
          <t>表3-3</t>
        </is>
      </c>
      <c r="C5" s="30" t="n"/>
      <c r="D5" s="30" t="n"/>
      <c r="E5" s="30" t="n"/>
      <c r="F5" s="30" t="n"/>
      <c r="G5" s="23" t="n"/>
    </row>
    <row r="6" ht="28.5" customHeight="1" s="29">
      <c r="B6" s="1" t="inlineStr">
        <is>
          <t>角度
[degree]</t>
        </is>
      </c>
      <c r="C6" s="4" t="inlineStr">
        <is>
          <t>測定値
(μA)</t>
        </is>
      </c>
      <c r="D6" s="4" t="inlineStr">
        <is>
          <t>補正値
(μA)</t>
        </is>
      </c>
      <c r="E6" s="4" t="inlineStr">
        <is>
          <t>補正後の相対強度</t>
        </is>
      </c>
      <c r="F6" s="21" t="inlineStr">
        <is>
          <t>理論値</t>
        </is>
      </c>
      <c r="G6" s="2" t="inlineStr">
        <is>
          <t>理論値（相対強度）</t>
        </is>
      </c>
      <c r="S6" s="12" t="inlineStr">
        <is>
          <t>データのまとめ方</t>
        </is>
      </c>
      <c r="T6" s="13" t="n"/>
      <c r="U6" s="13" t="n"/>
      <c r="V6" s="13" t="n"/>
      <c r="W6" s="13" t="n"/>
      <c r="X6" s="13" t="n"/>
      <c r="Y6" s="13" t="n"/>
      <c r="Z6" s="14" t="n"/>
    </row>
    <row r="7" ht="15" customHeight="1" s="29" thickBot="1">
      <c r="B7" s="31" t="n">
        <v>0</v>
      </c>
      <c r="C7" s="32">
        <f>D7+2</f>
        <v/>
      </c>
      <c r="D7" s="32" t="n">
        <v>0</v>
      </c>
      <c r="E7" s="33">
        <f>D7/58</f>
        <v/>
      </c>
      <c r="F7" s="34">
        <f>COS(PI()/180*B7-PI()/180*10)^2*COS(PI()/2-PI()/180*B7)^2/0.344</f>
        <v/>
      </c>
      <c r="G7" s="35">
        <f>F7</f>
        <v/>
      </c>
      <c r="S7" s="15" t="n"/>
      <c r="T7" s="16" t="n"/>
      <c r="U7" s="16" t="n"/>
      <c r="V7" s="16" t="n"/>
      <c r="W7" s="16" t="n"/>
      <c r="X7" s="16" t="n"/>
      <c r="Y7" s="16" t="n"/>
      <c r="Z7" s="17" t="n"/>
    </row>
    <row r="8" ht="13.5" customHeight="1" s="29">
      <c r="B8" s="31" t="n">
        <v>5</v>
      </c>
      <c r="C8" s="36" t="n"/>
      <c r="D8" s="36" t="n"/>
      <c r="E8" s="36" t="n"/>
      <c r="F8" s="34">
        <f>COS(PI()/180*B8-PI()/180*10)^2*COS(PI()/2-PI()/180*B8)^2/0.344</f>
        <v/>
      </c>
      <c r="G8" s="35">
        <f>F8</f>
        <v/>
      </c>
      <c r="S8" s="26" t="inlineStr">
        <is>
          <t xml:space="preserve">STEP 1： 測定値（生データ）を入力する。測定値を入力する際は
　　　　　　対応する角度の行に入力する。（ピンク色のセル）。
　　　　　　注）　1.3.E-1 等の表示は 1.3×10-1を表している。
STEP 2： 各測定値から最小値を引く（補正値）。それらの相対強度を入力する。
　　　　　　相対強度は、補正後の測定値を最大値で割ることにより求めることができ
　　　　　　る。入力する際は対応する角度の行に入力する。（ピンク色のセル）。
STEP 3：[グループ2対象]　理論値を計算し、「理論値」列に計算値を入力する。
　　　　　　（緑色のセル）
ヒント：　[ =COS() ] でコサインの計算ができる。カッコ内はラジアン変換した後の
　　　　　値を入れる必要がある。　
　　　　　度  から　ラジアン　に変換するためには PI() をかけてから 180 で割る
 　　　   必要がある。
　　　　　（ex セル"B7"の角度をラジアンに変換する→　B7*PI()/180   ）
          以上より、 [ =COS(B7*PI()/180) ] をセルに入力するとセル"B7"に
　　　　　入力された角度におけるコサインの計算ができる。
</t>
        </is>
      </c>
      <c r="T8" s="37" t="n"/>
      <c r="U8" s="37" t="n"/>
      <c r="V8" s="37" t="n"/>
      <c r="W8" s="37" t="n"/>
      <c r="X8" s="37" t="n"/>
      <c r="Y8" s="37" t="n"/>
      <c r="Z8" s="37" t="n"/>
    </row>
    <row r="9" ht="13.5" customHeight="1" s="29">
      <c r="B9" s="31" t="n">
        <v>10</v>
      </c>
      <c r="C9" s="32">
        <f>D9+2</f>
        <v/>
      </c>
      <c r="D9" s="32" t="n">
        <v>3.5</v>
      </c>
      <c r="E9" s="33">
        <f>D9/58</f>
        <v/>
      </c>
      <c r="F9" s="34">
        <f>COS(PI()/180*B9-PI()/180*10)^2*COS(PI()/2-PI()/180*B9)^2/0.344</f>
        <v/>
      </c>
      <c r="G9" s="35">
        <f>F9</f>
        <v/>
      </c>
    </row>
    <row r="10" ht="13.5" customHeight="1" s="29">
      <c r="B10" s="31" t="n">
        <v>15</v>
      </c>
      <c r="C10" s="36" t="n"/>
      <c r="D10" s="36" t="n"/>
      <c r="E10" s="36" t="n"/>
      <c r="F10" s="34">
        <f>COS(PI()/180*B10-PI()/180*10)^2*COS(PI()/2-PI()/180*B10)^2/0.344</f>
        <v/>
      </c>
      <c r="G10" s="35">
        <f>F10</f>
        <v/>
      </c>
    </row>
    <row r="11" ht="13.5" customHeight="1" s="29">
      <c r="B11" s="31" t="n">
        <v>20</v>
      </c>
      <c r="C11" s="32">
        <f>D11+2</f>
        <v/>
      </c>
      <c r="D11" s="32" t="n">
        <v>18</v>
      </c>
      <c r="E11" s="33">
        <f>D11/58</f>
        <v/>
      </c>
      <c r="F11" s="34">
        <f>COS(PI()/180*B11-PI()/180*10)^2*COS(PI()/2-PI()/180*B11)^2/0.344</f>
        <v/>
      </c>
      <c r="G11" s="35">
        <f>F11</f>
        <v/>
      </c>
    </row>
    <row r="12" ht="13.5" customHeight="1" s="29">
      <c r="B12" s="31" t="n">
        <v>25</v>
      </c>
      <c r="C12" s="36" t="n"/>
      <c r="D12" s="36" t="n"/>
      <c r="E12" s="36" t="n"/>
      <c r="F12" s="34">
        <f>COS(PI()/180*B12-PI()/180*10)^2*COS(PI()/2-PI()/180*B12)^2/0.344</f>
        <v/>
      </c>
      <c r="G12" s="35">
        <f>F12</f>
        <v/>
      </c>
    </row>
    <row r="13" ht="13.5" customHeight="1" s="29">
      <c r="B13" s="31" t="n">
        <v>30</v>
      </c>
      <c r="C13" s="32">
        <f>D13+2</f>
        <v/>
      </c>
      <c r="D13" s="32" t="n">
        <v>36.5</v>
      </c>
      <c r="E13" s="33">
        <f>D13/58</f>
        <v/>
      </c>
      <c r="F13" s="34">
        <f>COS(PI()/180*B13-PI()/180*10)^2*COS(PI()/2-PI()/180*B13)^2/0.344</f>
        <v/>
      </c>
      <c r="G13" s="35">
        <f>F13</f>
        <v/>
      </c>
    </row>
    <row r="14" ht="13.5" customHeight="1" s="29">
      <c r="B14" s="31" t="n">
        <v>35</v>
      </c>
      <c r="C14" s="36" t="n"/>
      <c r="D14" s="36" t="n"/>
      <c r="E14" s="36" t="n"/>
      <c r="F14" s="34">
        <f>COS(PI()/180*B14-PI()/180*10)^2*COS(PI()/2-PI()/180*B14)^2/0.344</f>
        <v/>
      </c>
      <c r="G14" s="35">
        <f>F14</f>
        <v/>
      </c>
    </row>
    <row r="15" ht="14.25" customHeight="1" s="29">
      <c r="B15" s="31" t="n">
        <v>40</v>
      </c>
      <c r="C15" s="32">
        <f>D15+2</f>
        <v/>
      </c>
      <c r="D15" s="32" t="n">
        <v>51</v>
      </c>
      <c r="E15" s="33">
        <f>D15/58</f>
        <v/>
      </c>
      <c r="F15" s="34">
        <f>COS(PI()/180*B15-PI()/180*10)^2*COS(PI()/2-PI()/180*B15)^2/0.344</f>
        <v/>
      </c>
      <c r="G15" s="35">
        <f>F15</f>
        <v/>
      </c>
    </row>
    <row r="16" ht="13.5" customHeight="1" s="29">
      <c r="B16" s="31" t="n">
        <v>45</v>
      </c>
      <c r="C16" s="32">
        <f>D16+2</f>
        <v/>
      </c>
      <c r="D16" s="32" t="n">
        <v>56</v>
      </c>
      <c r="E16" s="33">
        <f>D16/58</f>
        <v/>
      </c>
      <c r="F16" s="34">
        <f>COS(PI()/180*B16-PI()/180*10)^2*COS(PI()/2-PI()/180*B16)^2/0.344</f>
        <v/>
      </c>
      <c r="G16" s="35">
        <f>F16</f>
        <v/>
      </c>
    </row>
    <row r="17" ht="13.5" customHeight="1" s="29">
      <c r="B17" s="31" t="n">
        <v>50</v>
      </c>
      <c r="C17" s="32">
        <f>D17+2</f>
        <v/>
      </c>
      <c r="D17" s="32" t="n">
        <v>58</v>
      </c>
      <c r="E17" s="33">
        <f>D17/58</f>
        <v/>
      </c>
      <c r="F17" s="34">
        <f>COS(PI()/180*B17-PI()/180*10)^2*COS(PI()/2-PI()/180*B17)^2/0.344</f>
        <v/>
      </c>
      <c r="G17" s="35">
        <f>F17</f>
        <v/>
      </c>
    </row>
    <row r="18" ht="13.5" customHeight="1" s="29">
      <c r="B18" s="31" t="n">
        <v>55</v>
      </c>
      <c r="C18" s="36" t="n"/>
      <c r="D18" s="36" t="n"/>
      <c r="E18" s="36" t="n"/>
      <c r="F18" s="34">
        <f>COS(PI()/180*B18-PI()/180*10)^2*COS(PI()/2-PI()/180*B18)^2/0.344</f>
        <v/>
      </c>
      <c r="G18" s="35">
        <f>F18</f>
        <v/>
      </c>
    </row>
    <row r="19" ht="13.5" customHeight="1" s="29">
      <c r="B19" s="31" t="n">
        <v>60</v>
      </c>
      <c r="C19" s="32">
        <f>D19+2</f>
        <v/>
      </c>
      <c r="D19" s="32" t="n">
        <v>49.5</v>
      </c>
      <c r="E19" s="33">
        <f>D19/58</f>
        <v/>
      </c>
      <c r="F19" s="34">
        <f>COS(PI()/180*B19-PI()/180*10)^2*COS(PI()/2-PI()/180*B19)^2/0.344</f>
        <v/>
      </c>
      <c r="G19" s="35">
        <f>F19</f>
        <v/>
      </c>
    </row>
    <row r="20" ht="13.5" customHeight="1" s="29">
      <c r="B20" s="31" t="n">
        <v>65</v>
      </c>
      <c r="C20" s="36" t="n"/>
      <c r="D20" s="36" t="n"/>
      <c r="E20" s="36" t="n"/>
      <c r="F20" s="34">
        <f>COS(PI()/180*B20-PI()/180*10)^2*COS(PI()/2-PI()/180*B20)^2/0.344</f>
        <v/>
      </c>
      <c r="G20" s="35">
        <f>F20</f>
        <v/>
      </c>
    </row>
    <row r="21" ht="13.5" customHeight="1" s="29">
      <c r="B21" s="31" t="n">
        <v>70</v>
      </c>
      <c r="C21" s="32">
        <f>D21+2</f>
        <v/>
      </c>
      <c r="D21" s="32" t="n">
        <v>36</v>
      </c>
      <c r="E21" s="33">
        <f>D21/58</f>
        <v/>
      </c>
      <c r="F21" s="34">
        <f>COS(PI()/180*B21-PI()/180*10)^2*COS(PI()/2-PI()/180*B21)^2/0.344</f>
        <v/>
      </c>
      <c r="G21" s="35">
        <f>F21</f>
        <v/>
      </c>
    </row>
    <row r="22" ht="13.5" customHeight="1" s="29">
      <c r="B22" s="31" t="n">
        <v>75</v>
      </c>
      <c r="C22" s="36" t="n"/>
      <c r="D22" s="36" t="n"/>
      <c r="E22" s="36" t="n"/>
      <c r="F22" s="34">
        <f>COS(PI()/180*B22-PI()/180*10)^2*COS(PI()/2-PI()/180*B22)^2/0.344</f>
        <v/>
      </c>
      <c r="G22" s="35">
        <f>F22</f>
        <v/>
      </c>
    </row>
    <row r="23" ht="13.5" customHeight="1" s="29">
      <c r="B23" s="31" t="n">
        <v>80</v>
      </c>
      <c r="C23" s="32">
        <f>D23+2</f>
        <v/>
      </c>
      <c r="D23" s="32" t="n">
        <v>19.5</v>
      </c>
      <c r="E23" s="33">
        <f>D23/58</f>
        <v/>
      </c>
      <c r="F23" s="34">
        <f>COS(PI()/180*B23-PI()/180*10)^2*COS(PI()/2-PI()/180*B23)^2/0.344</f>
        <v/>
      </c>
      <c r="G23" s="35">
        <f>F23</f>
        <v/>
      </c>
    </row>
    <row r="24" ht="13.5" customHeight="1" s="29">
      <c r="B24" s="31" t="n">
        <v>85</v>
      </c>
      <c r="C24" s="32">
        <f>D24+2</f>
        <v/>
      </c>
      <c r="D24" s="32" t="n">
        <v>10</v>
      </c>
      <c r="E24" s="33">
        <f>D24/58</f>
        <v/>
      </c>
      <c r="F24" s="34">
        <f>COS(PI()/180*B24-PI()/180*10)^2*COS(PI()/2-PI()/180*B24)^2/0.344</f>
        <v/>
      </c>
      <c r="G24" s="35">
        <f>F24</f>
        <v/>
      </c>
    </row>
    <row r="25" ht="13.5" customHeight="1" s="29">
      <c r="B25" s="31" t="n">
        <v>90</v>
      </c>
      <c r="C25" s="32">
        <f>D25+2</f>
        <v/>
      </c>
      <c r="D25" s="32" t="n">
        <v>5</v>
      </c>
      <c r="E25" s="33">
        <f>D25/58</f>
        <v/>
      </c>
      <c r="F25" s="34">
        <f>COS(PI()/180*B25-PI()/180*10)^2*COS(PI()/2-PI()/180*B25)^2/0.344</f>
        <v/>
      </c>
      <c r="G25" s="35">
        <f>F25</f>
        <v/>
      </c>
    </row>
    <row r="26" ht="14.25" customHeight="1" s="29">
      <c r="B26" s="31" t="n">
        <v>95</v>
      </c>
      <c r="C26" s="32">
        <f>D26+2</f>
        <v/>
      </c>
      <c r="D26" s="38" t="n">
        <v>1</v>
      </c>
      <c r="E26" s="33">
        <f>D26/58</f>
        <v/>
      </c>
      <c r="F26" s="34">
        <f>COS(PI()/180*B26-PI()/180*10)^2*COS(PI()/2-PI()/180*B26)^2/0.344</f>
        <v/>
      </c>
      <c r="G26" s="35">
        <f>F26</f>
        <v/>
      </c>
    </row>
    <row r="27" ht="14.1" customHeight="1" s="29">
      <c r="B27" s="31" t="n">
        <v>100</v>
      </c>
      <c r="C27" s="32">
        <f>D27+2</f>
        <v/>
      </c>
      <c r="D27" s="32" t="n">
        <v>0.5</v>
      </c>
      <c r="E27" s="33">
        <f>D27/58</f>
        <v/>
      </c>
      <c r="F27" s="34">
        <f>COS(PI()/180*B27-PI()/180*10)^2*COS(PI()/2-PI()/180*B27)^2/0.344</f>
        <v/>
      </c>
      <c r="G27" s="35">
        <f>F27</f>
        <v/>
      </c>
    </row>
    <row r="28" ht="14.1" customHeight="1" s="29">
      <c r="B28" s="31" t="n">
        <v>105</v>
      </c>
      <c r="C28" s="36" t="n"/>
      <c r="D28" s="36" t="n"/>
      <c r="E28" s="36" t="n"/>
      <c r="F28" s="34">
        <f>COS(PI()/180*B28-PI()/180*10)^2*COS(PI()/2-PI()/180*B28)^2/0.344</f>
        <v/>
      </c>
      <c r="G28" s="35">
        <f>F28</f>
        <v/>
      </c>
    </row>
    <row r="29" ht="14.1" customHeight="1" s="29">
      <c r="B29" s="31" t="n">
        <v>110</v>
      </c>
      <c r="C29" s="32">
        <f>D29+2</f>
        <v/>
      </c>
      <c r="D29" s="32" t="n">
        <v>6</v>
      </c>
      <c r="E29" s="33">
        <f>D29/58</f>
        <v/>
      </c>
      <c r="F29" s="34">
        <f>COS(PI()/180*B29-PI()/180*10)^2*COS(PI()/2-PI()/180*B29)^2/0.344</f>
        <v/>
      </c>
      <c r="G29" s="35">
        <f>F29</f>
        <v/>
      </c>
    </row>
    <row r="30" ht="14.1" customHeight="1" s="29">
      <c r="B30" s="31" t="n">
        <v>115</v>
      </c>
      <c r="C30" s="36" t="n"/>
      <c r="D30" s="36" t="n"/>
      <c r="E30" s="36" t="n"/>
      <c r="F30" s="34">
        <f>COS(PI()/180*B30-PI()/180*10)^2*COS(PI()/2-PI()/180*B30)^2/0.344</f>
        <v/>
      </c>
      <c r="G30" s="35">
        <f>F30</f>
        <v/>
      </c>
    </row>
    <row r="31" ht="14.1" customHeight="1" s="29">
      <c r="B31" s="31" t="n">
        <v>120</v>
      </c>
      <c r="C31" s="32">
        <f>D31+2</f>
        <v/>
      </c>
      <c r="D31" s="32" t="n">
        <v>19</v>
      </c>
      <c r="E31" s="33">
        <f>D31/58</f>
        <v/>
      </c>
      <c r="F31" s="34">
        <f>COS(PI()/180*B31-PI()/180*10)^2*COS(PI()/2-PI()/180*B31)^2/0.344</f>
        <v/>
      </c>
      <c r="G31" s="35">
        <f>F31</f>
        <v/>
      </c>
    </row>
    <row r="32" ht="14.1" customHeight="1" s="29">
      <c r="B32" s="31" t="n">
        <v>125</v>
      </c>
      <c r="C32" s="36" t="n"/>
      <c r="D32" s="36" t="n"/>
      <c r="E32" s="36" t="n"/>
      <c r="F32" s="34">
        <f>COS(PI()/180*B32-PI()/180*10)^2*COS(PI()/2-PI()/180*B32)^2/0.344</f>
        <v/>
      </c>
      <c r="G32" s="35">
        <f>F32</f>
        <v/>
      </c>
    </row>
    <row r="33" ht="14.1" customHeight="1" s="29">
      <c r="B33" s="31" t="n">
        <v>130</v>
      </c>
      <c r="C33" s="32">
        <f>D33+2</f>
        <v/>
      </c>
      <c r="D33" s="32" t="n">
        <v>30</v>
      </c>
      <c r="E33" s="33">
        <f>D33/58</f>
        <v/>
      </c>
      <c r="F33" s="34">
        <f>COS(PI()/180*B33-PI()/180*10)^2*COS(PI()/2-PI()/180*B33)^2/0.344</f>
        <v/>
      </c>
      <c r="G33" s="35">
        <f>F33</f>
        <v/>
      </c>
    </row>
    <row r="34">
      <c r="B34" s="31" t="n">
        <v>135</v>
      </c>
      <c r="C34" s="32">
        <f>D34+2</f>
        <v/>
      </c>
      <c r="D34" s="38" t="n">
        <v>34</v>
      </c>
      <c r="E34" s="33">
        <f>D34/58</f>
        <v/>
      </c>
      <c r="F34" s="34">
        <f>COS(PI()/180*B34-PI()/180*10)^2*COS(PI()/2-PI()/180*B34)^2/0.344</f>
        <v/>
      </c>
      <c r="G34" s="35">
        <f>F34</f>
        <v/>
      </c>
    </row>
    <row r="35">
      <c r="B35" s="31" t="n">
        <v>140</v>
      </c>
      <c r="C35" s="32">
        <f>D35+2</f>
        <v/>
      </c>
      <c r="D35" s="32" t="n">
        <v>35.5</v>
      </c>
      <c r="E35" s="33">
        <f>D35/58</f>
        <v/>
      </c>
      <c r="F35" s="34">
        <f>COS(PI()/180*B35-PI()/180*10)^2*COS(PI()/2-PI()/180*B35)^2/0.344</f>
        <v/>
      </c>
      <c r="G35" s="35">
        <f>F35</f>
        <v/>
      </c>
    </row>
    <row r="36">
      <c r="B36" s="31" t="n">
        <v>145</v>
      </c>
      <c r="C36" s="36" t="n"/>
      <c r="D36" s="36" t="n"/>
      <c r="E36" s="36" t="n"/>
      <c r="F36" s="34">
        <f>COS(PI()/180*B36-PI()/180*10)^2*COS(PI()/2-PI()/180*B36)^2/0.344</f>
        <v/>
      </c>
      <c r="G36" s="35">
        <f>F36</f>
        <v/>
      </c>
    </row>
    <row r="37">
      <c r="B37" s="31" t="n">
        <v>150</v>
      </c>
      <c r="C37" s="32">
        <f>D37+2</f>
        <v/>
      </c>
      <c r="D37" s="32" t="n">
        <v>31</v>
      </c>
      <c r="E37" s="33">
        <f>D37/58</f>
        <v/>
      </c>
      <c r="F37" s="34">
        <f>COS(PI()/180*B37-PI()/180*10)^2*COS(PI()/2-PI()/180*B37)^2/0.344</f>
        <v/>
      </c>
      <c r="G37" s="35">
        <f>F37</f>
        <v/>
      </c>
    </row>
    <row r="38">
      <c r="B38" s="31" t="n">
        <v>155</v>
      </c>
      <c r="C38" s="36" t="n"/>
      <c r="D38" s="36" t="n"/>
      <c r="E38" s="36" t="n"/>
      <c r="F38" s="34">
        <f>COS(PI()/180*B38-PI()/180*10)^2*COS(PI()/2-PI()/180*B38)^2/0.344</f>
        <v/>
      </c>
      <c r="G38" s="35">
        <f>F38</f>
        <v/>
      </c>
    </row>
    <row r="39">
      <c r="B39" s="31" t="n">
        <v>160</v>
      </c>
      <c r="C39" s="32">
        <f>D39+2</f>
        <v/>
      </c>
      <c r="D39" s="32" t="n">
        <v>19</v>
      </c>
      <c r="E39" s="33">
        <f>D39/58</f>
        <v/>
      </c>
      <c r="F39" s="34">
        <f>COS(PI()/180*B39-PI()/180*10)^2*COS(PI()/2-PI()/180*B39)^2/0.344</f>
        <v/>
      </c>
      <c r="G39" s="35">
        <f>F39</f>
        <v/>
      </c>
    </row>
    <row r="40">
      <c r="B40" s="31" t="n">
        <v>165</v>
      </c>
      <c r="C40" s="36" t="n"/>
      <c r="D40" s="36" t="n"/>
      <c r="E40" s="36" t="n"/>
      <c r="F40" s="34">
        <f>COS(PI()/180*B40-PI()/180*10)^2*COS(PI()/2-PI()/180*B40)^2/0.344</f>
        <v/>
      </c>
      <c r="G40" s="35">
        <f>F40</f>
        <v/>
      </c>
    </row>
    <row r="41">
      <c r="B41" s="31" t="n">
        <v>170</v>
      </c>
      <c r="C41" s="32">
        <f>D41+2</f>
        <v/>
      </c>
      <c r="D41" s="32" t="n">
        <v>6.5</v>
      </c>
      <c r="E41" s="33">
        <f>D41/58</f>
        <v/>
      </c>
      <c r="F41" s="34">
        <f>COS(PI()/180*B41-PI()/180*10)^2*COS(PI()/2-PI()/180*B41)^2/0.344</f>
        <v/>
      </c>
      <c r="G41" s="35">
        <f>F41</f>
        <v/>
      </c>
    </row>
    <row r="42">
      <c r="B42" s="31" t="n">
        <v>175</v>
      </c>
      <c r="C42" s="36" t="n"/>
      <c r="D42" s="36" t="n"/>
      <c r="E42" s="36" t="n"/>
      <c r="F42" s="34">
        <f>COS(PI()/180*B42-PI()/180*10)^2*COS(PI()/2-PI()/180*B42)^2/0.344</f>
        <v/>
      </c>
      <c r="G42" s="35">
        <f>F42</f>
        <v/>
      </c>
    </row>
    <row r="43">
      <c r="B43" s="31" t="n">
        <v>180</v>
      </c>
      <c r="C43" s="32">
        <f>D43+2</f>
        <v/>
      </c>
      <c r="D43" s="32" t="n">
        <v>0</v>
      </c>
      <c r="E43" s="33">
        <f>D43/58</f>
        <v/>
      </c>
      <c r="F43" s="34">
        <f>COS(PI()/180*B43-PI()/180*10)^2*COS(PI()/2-PI()/180*B43)^2/0.344</f>
        <v/>
      </c>
      <c r="G43" s="35">
        <f>F43</f>
        <v/>
      </c>
    </row>
    <row r="44">
      <c r="F44" s="18" t="inlineStr">
        <is>
          <t>※理論値は全ての角度について入力する（グループ2）</t>
        </is>
      </c>
      <c r="G44" s="18" t="n"/>
    </row>
    <row r="47">
      <c r="F47" s="40">
        <f>MAX(F7:F43)</f>
        <v/>
      </c>
    </row>
  </sheetData>
  <mergeCells count="2">
    <mergeCell ref="S8:Z33"/>
    <mergeCell ref="B5:F5"/>
  </mergeCells>
  <pageMargins left="0.7874015748031497" right="0" top="0" bottom="0" header="0.3149606299212598" footer="0.3149606299212598"/>
  <pageSetup orientation="portrait" paperSize="9" scale="56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NAKAGAWA</dc:creator>
  <dcterms:created xmlns:dcterms="http://purl.org/dc/terms/" xmlns:xsi="http://www.w3.org/2001/XMLSchema-instance" xsi:type="dcterms:W3CDTF">2016-08-30T02:53:09Z</dcterms:created>
  <dcterms:modified xmlns:dcterms="http://purl.org/dc/terms/" xmlns:xsi="http://www.w3.org/2001/XMLSchema-instance" xsi:type="dcterms:W3CDTF">2025-12-01T05:27:51Z</dcterms:modified>
  <cp:lastModifiedBy>capacitor</cp:lastModifiedBy>
  <cp:lastPrinted>2025-11-25T07:26:41Z</cp:lastPrinted>
</cp:coreProperties>
</file>