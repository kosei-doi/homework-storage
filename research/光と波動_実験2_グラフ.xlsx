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r\"/>
    </mc:Choice>
  </mc:AlternateContent>
  <bookViews>
    <workbookView xWindow="0" yWindow="735" windowWidth="29400" windowHeight="17160"/>
  </bookViews>
  <sheets>
    <sheet name="実験2-1_グラフ" sheetId="1" r:id="rId1"/>
    <sheet name="実験2-2_グラフ" sheetId="5" r:id="rId2"/>
    <sheet name="実験2-3_グラフ" sheetId="6" r:id="rId3"/>
  </sheets>
  <definedNames>
    <definedName name="_xlnm.Print_Area" localSheetId="0">'実験2-1_グラフ'!$A$1:$R$47</definedName>
    <definedName name="_xlnm.Print_Area" localSheetId="1">'実験2-2_グラフ'!$A$1:$R$47</definedName>
    <definedName name="_xlnm.Print_Area" localSheetId="2">'実験2-3_グラフ'!$A$1:$R$47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6" l="1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7" i="6"/>
  <c r="F47" i="6"/>
  <c r="F8" i="5"/>
  <c r="F9" i="5"/>
  <c r="F10" i="5"/>
  <c r="G10" i="5" s="1"/>
  <c r="F11" i="5"/>
  <c r="F12" i="5"/>
  <c r="G12" i="5" s="1"/>
  <c r="F13" i="5"/>
  <c r="F14" i="5"/>
  <c r="F15" i="5"/>
  <c r="G15" i="5" s="1"/>
  <c r="F16" i="5"/>
  <c r="F17" i="5"/>
  <c r="F18" i="5"/>
  <c r="F19" i="5"/>
  <c r="G19" i="5" s="1"/>
  <c r="F20" i="5"/>
  <c r="F21" i="5"/>
  <c r="F22" i="5"/>
  <c r="G22" i="5" s="1"/>
  <c r="F23" i="5"/>
  <c r="F24" i="5"/>
  <c r="G24" i="5" s="1"/>
  <c r="F25" i="5"/>
  <c r="F26" i="5"/>
  <c r="F27" i="5"/>
  <c r="G27" i="5" s="1"/>
  <c r="F28" i="5"/>
  <c r="F29" i="5"/>
  <c r="F30" i="5"/>
  <c r="F31" i="5"/>
  <c r="G31" i="5" s="1"/>
  <c r="F32" i="5"/>
  <c r="F33" i="5"/>
  <c r="F34" i="5"/>
  <c r="G34" i="5" s="1"/>
  <c r="F35" i="5"/>
  <c r="F36" i="5"/>
  <c r="G36" i="5" s="1"/>
  <c r="F37" i="5"/>
  <c r="F38" i="5"/>
  <c r="F39" i="5"/>
  <c r="G39" i="5" s="1"/>
  <c r="F40" i="5"/>
  <c r="F41" i="5"/>
  <c r="F42" i="5"/>
  <c r="F43" i="5"/>
  <c r="G43" i="5" s="1"/>
  <c r="F7" i="5"/>
  <c r="G8" i="5"/>
  <c r="G9" i="5"/>
  <c r="G11" i="5"/>
  <c r="G13" i="5"/>
  <c r="G14" i="5"/>
  <c r="G16" i="5"/>
  <c r="G17" i="5"/>
  <c r="G18" i="5"/>
  <c r="G20" i="5"/>
  <c r="G21" i="5"/>
  <c r="G23" i="5"/>
  <c r="G25" i="5"/>
  <c r="G26" i="5"/>
  <c r="G28" i="5"/>
  <c r="G29" i="5"/>
  <c r="G30" i="5"/>
  <c r="G32" i="5"/>
  <c r="G33" i="5"/>
  <c r="G35" i="5"/>
  <c r="G37" i="5"/>
  <c r="G38" i="5"/>
  <c r="G40" i="5"/>
  <c r="G41" i="5"/>
  <c r="G42" i="5"/>
  <c r="G7" i="5"/>
  <c r="F46" i="5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7" i="1"/>
  <c r="E9" i="6"/>
  <c r="E11" i="6"/>
  <c r="E13" i="6"/>
  <c r="E15" i="6"/>
  <c r="E16" i="6"/>
  <c r="E17" i="6"/>
  <c r="E19" i="6"/>
  <c r="E21" i="6"/>
  <c r="E23" i="6"/>
  <c r="E24" i="6"/>
  <c r="E25" i="6"/>
  <c r="E26" i="6"/>
  <c r="E27" i="6"/>
  <c r="E29" i="6"/>
  <c r="E31" i="6"/>
  <c r="E33" i="6"/>
  <c r="E34" i="6"/>
  <c r="E35" i="6"/>
  <c r="E37" i="6"/>
  <c r="E39" i="6"/>
  <c r="E41" i="6"/>
  <c r="E43" i="6"/>
  <c r="E7" i="6"/>
  <c r="C9" i="6"/>
  <c r="C11" i="6"/>
  <c r="C13" i="6"/>
  <c r="C15" i="6"/>
  <c r="C16" i="6"/>
  <c r="C17" i="6"/>
  <c r="C19" i="6"/>
  <c r="C21" i="6"/>
  <c r="C23" i="6"/>
  <c r="C24" i="6"/>
  <c r="C25" i="6"/>
  <c r="C26" i="6"/>
  <c r="C27" i="6"/>
  <c r="C29" i="6"/>
  <c r="C31" i="6"/>
  <c r="C33" i="6"/>
  <c r="C34" i="6"/>
  <c r="C35" i="6"/>
  <c r="C37" i="6"/>
  <c r="C39" i="6"/>
  <c r="C41" i="6"/>
  <c r="C43" i="6"/>
  <c r="C7" i="6"/>
  <c r="D43" i="5"/>
  <c r="E43" i="5" s="1"/>
  <c r="D41" i="5"/>
  <c r="E41" i="5" s="1"/>
  <c r="D39" i="5"/>
  <c r="E39" i="5" s="1"/>
  <c r="D37" i="5"/>
  <c r="E37" i="5" s="1"/>
  <c r="D35" i="5"/>
  <c r="E35" i="5" s="1"/>
  <c r="D34" i="5"/>
  <c r="E34" i="5" s="1"/>
  <c r="D33" i="5"/>
  <c r="E33" i="5" s="1"/>
  <c r="D31" i="5"/>
  <c r="E31" i="5" s="1"/>
  <c r="D29" i="5"/>
  <c r="E29" i="5" s="1"/>
  <c r="D27" i="5"/>
  <c r="E27" i="5" s="1"/>
  <c r="D26" i="5"/>
  <c r="E26" i="5" s="1"/>
  <c r="D25" i="5"/>
  <c r="E25" i="5" s="1"/>
  <c r="D24" i="5"/>
  <c r="E24" i="5" s="1"/>
  <c r="D23" i="5"/>
  <c r="E23" i="5" s="1"/>
  <c r="D21" i="5"/>
  <c r="E21" i="5" s="1"/>
  <c r="D19" i="5"/>
  <c r="E19" i="5" s="1"/>
  <c r="D17" i="5"/>
  <c r="E17" i="5" s="1"/>
  <c r="D16" i="5"/>
  <c r="E16" i="5" s="1"/>
  <c r="D15" i="5"/>
  <c r="E15" i="5" s="1"/>
  <c r="D13" i="5"/>
  <c r="E13" i="5" s="1"/>
  <c r="D11" i="5"/>
  <c r="E11" i="5" s="1"/>
  <c r="D9" i="5"/>
  <c r="E9" i="5" s="1"/>
  <c r="E7" i="5"/>
  <c r="D7" i="5"/>
  <c r="E9" i="1"/>
  <c r="E11" i="1"/>
  <c r="E13" i="1"/>
  <c r="E15" i="1"/>
  <c r="E17" i="1"/>
  <c r="E19" i="1"/>
  <c r="E21" i="1"/>
  <c r="E23" i="1"/>
  <c r="E24" i="1"/>
  <c r="E25" i="1"/>
  <c r="E26" i="1"/>
  <c r="E27" i="1"/>
  <c r="E29" i="1"/>
  <c r="E31" i="1"/>
  <c r="E33" i="1"/>
  <c r="E35" i="1"/>
  <c r="E37" i="1"/>
  <c r="E39" i="1"/>
  <c r="E41" i="1"/>
  <c r="E43" i="1"/>
  <c r="E7" i="1"/>
  <c r="D9" i="1"/>
  <c r="D11" i="1"/>
  <c r="D13" i="1"/>
  <c r="D15" i="1"/>
  <c r="D17" i="1"/>
  <c r="D19" i="1"/>
  <c r="D21" i="1"/>
  <c r="D23" i="1"/>
  <c r="D24" i="1"/>
  <c r="D25" i="1"/>
  <c r="D26" i="1"/>
  <c r="D27" i="1"/>
  <c r="D29" i="1"/>
  <c r="D31" i="1"/>
  <c r="D33" i="1"/>
  <c r="D35" i="1"/>
  <c r="D37" i="1"/>
  <c r="D39" i="1"/>
  <c r="D41" i="1"/>
  <c r="D43" i="1"/>
  <c r="D7" i="1"/>
</calcChain>
</file>

<file path=xl/sharedStrings.xml><?xml version="1.0" encoding="utf-8"?>
<sst xmlns="http://schemas.openxmlformats.org/spreadsheetml/2006/main" count="36" uniqueCount="16">
  <si>
    <t>角度
[degree]</t>
    <rPh sb="0" eb="2">
      <t>カクド</t>
    </rPh>
    <phoneticPr fontId="4"/>
  </si>
  <si>
    <t>データのまとめ方</t>
    <rPh sb="7" eb="8">
      <t>カタ</t>
    </rPh>
    <phoneticPr fontId="4"/>
  </si>
  <si>
    <t>補正後の相対強度</t>
    <rPh sb="0" eb="3">
      <t>ホセイ</t>
    </rPh>
    <rPh sb="4" eb="8">
      <t>ソウタイ</t>
    </rPh>
    <phoneticPr fontId="4"/>
  </si>
  <si>
    <t>測定値
(μA)</t>
    <rPh sb="0" eb="2">
      <t>ソクテイ</t>
    </rPh>
    <rPh sb="2" eb="3">
      <t>チ</t>
    </rPh>
    <phoneticPr fontId="4"/>
  </si>
  <si>
    <t>補正値
(μA)</t>
    <rPh sb="0" eb="2">
      <t>ホセイ</t>
    </rPh>
    <rPh sb="2" eb="3">
      <t>チ</t>
    </rPh>
    <phoneticPr fontId="4"/>
  </si>
  <si>
    <t>・実験2-1 偏光板2枚</t>
    <rPh sb="1" eb="3">
      <t>ジッケン</t>
    </rPh>
    <rPh sb="7" eb="10">
      <t>ヘンコウ</t>
    </rPh>
    <rPh sb="11" eb="12">
      <t>マイ</t>
    </rPh>
    <phoneticPr fontId="4"/>
  </si>
  <si>
    <r>
      <t>STEP 1： 測定値（生データ）を入力する。測定値を入力する際は
　　　　　　対応する角度の行に入力する。（ピンク色のセル）。
　　　　　　注）　1.3.E-1 等の表示は 1.3</t>
    </r>
    <r>
      <rPr>
        <sz val="12"/>
        <color theme="1"/>
        <rFont val="Times New Roman"/>
        <family val="1"/>
      </rPr>
      <t>×</t>
    </r>
    <r>
      <rPr>
        <sz val="12"/>
        <color theme="1"/>
        <rFont val="ＭＳ Ｐゴシック"/>
        <family val="2"/>
        <charset val="128"/>
        <scheme val="minor"/>
      </rPr>
      <t>10</t>
    </r>
    <r>
      <rPr>
        <vertAlign val="superscript"/>
        <sz val="12"/>
        <color theme="1"/>
        <rFont val="ＭＳ Ｐゴシック"/>
        <family val="3"/>
        <charset val="128"/>
        <scheme val="minor"/>
      </rPr>
      <t>-1</t>
    </r>
    <r>
      <rPr>
        <sz val="12"/>
        <color theme="1"/>
        <rFont val="ＭＳ Ｐゴシック"/>
        <family val="2"/>
        <charset val="128"/>
        <scheme val="minor"/>
      </rPr>
      <t xml:space="preserve">を表している。
STEP 2： 各測定値から最小値を引く（補正値）。それらの相対強度を入力する。
　　　　　　相対強度は、補正後の測定値を最大値で割ることにより求めることができ
　　　　　　る。入力する際は対応する角度の行に入力する。（ピンク色のセル）。
STEP 3：[グループ2対象]　理論値を計算し、「理論値」列に計算値を入力する。
　　　　　　（緑色のセル）
ヒント：　[ =COS() ] でコサインの計算ができる。カッコ内はラジアン変換した後の
　　　　　値を入れる必要がある。　
　　　　　度  から　ラジアン　に変換するためには PI() をかけてから 180 で割る
 　　　   必要がある。
　　　　　（ex セル"B7"の角度をラジアンに変換する→　B7*PI()/180   ）
          以上より、 [ =COS(B7*PI()/180) ] をセルに入力するとセル"B7"に
　　　　　入力された角度におけるコサインの計算ができる。
</t>
    </r>
    <rPh sb="8" eb="11">
      <t>ソクテイチ</t>
    </rPh>
    <rPh sb="12" eb="13">
      <t>ナマ</t>
    </rPh>
    <rPh sb="18" eb="20">
      <t>ニュウリョク</t>
    </rPh>
    <rPh sb="23" eb="26">
      <t>ソクテイチ</t>
    </rPh>
    <rPh sb="27" eb="29">
      <t>ニュウリョク</t>
    </rPh>
    <rPh sb="31" eb="32">
      <t>サイ</t>
    </rPh>
    <rPh sb="40" eb="42">
      <t>タイオウ</t>
    </rPh>
    <rPh sb="44" eb="46">
      <t>カクド</t>
    </rPh>
    <rPh sb="47" eb="48">
      <t>ギョウ</t>
    </rPh>
    <rPh sb="49" eb="51">
      <t>ニュウリョク</t>
    </rPh>
    <rPh sb="58" eb="59">
      <t>イロ</t>
    </rPh>
    <rPh sb="113" eb="117">
      <t>カクソク</t>
    </rPh>
    <rPh sb="119" eb="122">
      <t>サイセィオ</t>
    </rPh>
    <rPh sb="123" eb="124">
      <t>ヒイタ</t>
    </rPh>
    <rPh sb="126" eb="129">
      <t>ホセイ</t>
    </rPh>
    <rPh sb="135" eb="137">
      <t>ソウタイ</t>
    </rPh>
    <rPh sb="137" eb="139">
      <t>キョウド</t>
    </rPh>
    <rPh sb="154" eb="157">
      <t>ホセイ</t>
    </rPh>
    <rPh sb="162" eb="165">
      <t>サイダイチ</t>
    </rPh>
    <rPh sb="166" eb="167">
      <t>ワ</t>
    </rPh>
    <rPh sb="173" eb="174">
      <t>モト</t>
    </rPh>
    <rPh sb="235" eb="237">
      <t>タイショウ</t>
    </rPh>
    <rPh sb="240" eb="242">
      <t>リロンチ</t>
    </rPh>
    <rPh sb="243" eb="245">
      <t>ケイサン</t>
    </rPh>
    <rPh sb="248" eb="251">
      <t>リロンチ</t>
    </rPh>
    <rPh sb="252" eb="253">
      <t>レツ</t>
    </rPh>
    <rPh sb="254" eb="256">
      <t>ケイサン</t>
    </rPh>
    <rPh sb="256" eb="257">
      <t>チ</t>
    </rPh>
    <rPh sb="258" eb="260">
      <t>ニュウリョク</t>
    </rPh>
    <rPh sb="271" eb="273">
      <t>ミドリイロ</t>
    </rPh>
    <rPh sb="301" eb="303">
      <t>ケイサン</t>
    </rPh>
    <rPh sb="311" eb="312">
      <t>ナイ</t>
    </rPh>
    <rPh sb="317" eb="319">
      <t>ヘンカン</t>
    </rPh>
    <rPh sb="321" eb="322">
      <t>アト</t>
    </rPh>
    <rPh sb="329" eb="330">
      <t>アタイ</t>
    </rPh>
    <rPh sb="331" eb="332">
      <t>イ</t>
    </rPh>
    <rPh sb="334" eb="336">
      <t>ヒツヨウ</t>
    </rPh>
    <rPh sb="348" eb="349">
      <t>ド</t>
    </rPh>
    <rPh sb="360" eb="362">
      <t>ヘンカン</t>
    </rPh>
    <rPh sb="386" eb="387">
      <t>ワ</t>
    </rPh>
    <rPh sb="396" eb="398">
      <t>ヒツヨウ</t>
    </rPh>
    <rPh sb="419" eb="421">
      <t>カクド</t>
    </rPh>
    <rPh sb="427" eb="429">
      <t>ヘンカン</t>
    </rPh>
    <rPh sb="460" eb="462">
      <t>イジョウ</t>
    </rPh>
    <rPh sb="492" eb="494">
      <t>ニュウリョク</t>
    </rPh>
    <rPh sb="510" eb="512">
      <t>ニュウリョク</t>
    </rPh>
    <rPh sb="515" eb="517">
      <t>カクド</t>
    </rPh>
    <phoneticPr fontId="4"/>
  </si>
  <si>
    <t>※理論値は全ての角度について入力する（グループ2）</t>
    <phoneticPr fontId="4"/>
  </si>
  <si>
    <t>表3-1</t>
    <rPh sb="0" eb="1">
      <t>ヒョウ</t>
    </rPh>
    <phoneticPr fontId="4"/>
  </si>
  <si>
    <t>表3-2</t>
    <rPh sb="0" eb="1">
      <t>ヒョウ</t>
    </rPh>
    <phoneticPr fontId="4"/>
  </si>
  <si>
    <t>・実験2-2 偏光板3枚（α=0°）</t>
    <rPh sb="1" eb="3">
      <t>ジッケン</t>
    </rPh>
    <rPh sb="7" eb="10">
      <t>ヘンコウ</t>
    </rPh>
    <rPh sb="11" eb="12">
      <t>マイ</t>
    </rPh>
    <phoneticPr fontId="4"/>
  </si>
  <si>
    <t>光と波動　　　データシート②  実験2　白色光の偏光特性</t>
    <rPh sb="0" eb="1">
      <t>ヒカリ</t>
    </rPh>
    <rPh sb="2" eb="4">
      <t>ハドウ</t>
    </rPh>
    <rPh sb="5" eb="7">
      <t>ジッケン</t>
    </rPh>
    <rPh sb="9" eb="12">
      <t>ハクショク</t>
    </rPh>
    <rPh sb="13" eb="15">
      <t>ヘンコウ</t>
    </rPh>
    <rPh sb="15" eb="17">
      <t>トクセイ</t>
    </rPh>
    <phoneticPr fontId="4"/>
  </si>
  <si>
    <t>・実験2-3 偏光板3枚（α=10°）</t>
    <rPh sb="1" eb="3">
      <t>ジッケン</t>
    </rPh>
    <rPh sb="7" eb="10">
      <t>ヘンコウ</t>
    </rPh>
    <rPh sb="11" eb="12">
      <t>マイ</t>
    </rPh>
    <phoneticPr fontId="4"/>
  </si>
  <si>
    <t>表3-3</t>
    <rPh sb="0" eb="1">
      <t>ヒョウ</t>
    </rPh>
    <phoneticPr fontId="4"/>
  </si>
  <si>
    <t>理論値</t>
    <rPh sb="0" eb="3">
      <t>リロn</t>
    </rPh>
    <phoneticPr fontId="4"/>
  </si>
  <si>
    <t>理論値（相対強度）</t>
    <rPh sb="0" eb="3">
      <t>リロンチ</t>
    </rPh>
    <rPh sb="4" eb="6">
      <t>ソウタイ</t>
    </rPh>
    <rPh sb="6" eb="8">
      <t>キョウ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</si>
</sst>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00_ "/>
    <numFmt numFmtId="177" formatCode="0.0_ "/>
    <numFmt numFmtId="178" formatCode="0.00.E+00"/>
  </numFmts>
  <fonts count="12" x14ac:knownFonts="1">
    <font>
      <sz val="11"/>
      <color theme="1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6"/>
      <color theme="1"/>
      <name val="ＭＳ Ｐゴシック"/>
      <family val="2"/>
      <charset val="128"/>
      <scheme val="minor"/>
    </font>
    <font>
      <sz val="22"/>
      <color theme="1"/>
      <name val="ＭＳ Ｐゴシック"/>
      <family val="2"/>
      <charset val="128"/>
      <scheme val="minor"/>
    </font>
    <font>
      <sz val="12"/>
      <color theme="1"/>
      <name val="Times New Roman"/>
      <family val="1"/>
    </font>
    <font>
      <vertAlign val="superscript"/>
      <sz val="12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11"/>
      <color rgb="FFC00000"/>
      <name val="ＭＳ Ｐゴシック"/>
      <family val="2"/>
      <charset val="128"/>
      <scheme val="minor"/>
    </font>
    <font>
      <b/>
      <sz val="22"/>
      <color theme="1"/>
      <name val="ＭＳ Ｐゴシック"/>
      <family val="2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darkDown"/>
    </fill>
    <fill>
      <patternFill patternType="solid">
        <fgColor theme="5" tint="0.79995117038483843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77" fontId="0" fillId="0" borderId="2" xfId="0" applyNumberFormat="1" applyBorder="1" applyAlignment="1">
      <alignment horizontal="center" vertical="center"/>
    </xf>
    <xf numFmtId="178" fontId="0" fillId="4" borderId="2" xfId="0" applyNumberFormat="1" applyFill="1" applyBorder="1" applyAlignment="1">
      <alignment horizontal="center" vertical="center"/>
    </xf>
    <xf numFmtId="178" fontId="0" fillId="4" borderId="1" xfId="0" applyNumberFormat="1" applyFill="1" applyBorder="1" applyAlignment="1">
      <alignment horizontal="center" vertical="center"/>
    </xf>
    <xf numFmtId="176" fontId="0" fillId="5" borderId="3" xfId="0" applyNumberFormat="1" applyFill="1" applyBorder="1" applyAlignment="1">
      <alignment horizontal="center" vertical="center"/>
    </xf>
    <xf numFmtId="0" fontId="9" fillId="0" borderId="0" xfId="0" applyFont="1">
      <alignment vertical="center"/>
    </xf>
    <xf numFmtId="178" fontId="0" fillId="6" borderId="2" xfId="0" applyNumberForma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0" fontId="6" fillId="2" borderId="5" xfId="0" applyFont="1" applyFill="1" applyBorder="1">
      <alignment vertical="center"/>
    </xf>
    <xf numFmtId="0" fontId="6" fillId="2" borderId="6" xfId="0" applyFont="1" applyFill="1" applyBorder="1">
      <alignment vertical="center"/>
    </xf>
    <xf numFmtId="0" fontId="6" fillId="2" borderId="7" xfId="0" applyFont="1" applyFill="1" applyBorder="1">
      <alignment vertical="center"/>
    </xf>
    <xf numFmtId="0" fontId="6" fillId="2" borderId="8" xfId="0" applyFont="1" applyFill="1" applyBorder="1">
      <alignment vertical="center"/>
    </xf>
    <xf numFmtId="0" fontId="6" fillId="2" borderId="9" xfId="0" applyFont="1" applyFill="1" applyBorder="1">
      <alignment vertical="center"/>
    </xf>
    <xf numFmtId="0" fontId="6" fillId="2" borderId="10" xfId="0" applyFont="1" applyFill="1" applyBorder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178" fontId="0" fillId="7" borderId="2" xfId="0" applyNumberForma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76" fontId="0" fillId="8" borderId="3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0" fontId="0" fillId="0" borderId="4" xfId="0" applyBorder="1" applyAlignment="1">
      <alignment horizontal="center" vertical="center"/>
    </xf>
    <xf numFmtId="0" fontId="2" fillId="3" borderId="6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ja-JP" altLang="en-US"/>
              <a:t>図　　偏光板</a:t>
            </a:r>
            <a:r>
              <a:rPr lang="en-US" altLang="ja-JP"/>
              <a:t>2</a:t>
            </a:r>
            <a:r>
              <a:rPr lang="ja-JP" altLang="en-US"/>
              <a:t>枚の場合の測定結果</a:t>
            </a:r>
          </a:p>
        </c:rich>
      </c:tx>
      <c:layout>
        <c:manualLayout>
          <c:xMode val="edge"/>
          <c:yMode val="edge"/>
          <c:x val="0.22505921129067957"/>
          <c:y val="0.8898071625344357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2191359727495"/>
          <c:y val="2.3422919242532661E-2"/>
          <c:w val="0.85011154245331144"/>
          <c:h val="0.7367653630073101"/>
        </c:manualLayout>
      </c:layout>
      <c:scatterChart>
        <c:scatterStyle val="smoothMarker"/>
        <c:varyColors val="0"/>
        <c:ser>
          <c:idx val="0"/>
          <c:order val="0"/>
          <c:tx>
            <c:v>理論計算値（グループ2対象）</c:v>
          </c:tx>
          <c:spPr>
            <a:ln w="12700">
              <a:solidFill>
                <a:sysClr val="windowText" lastClr="000000"/>
              </a:solidFill>
            </a:ln>
          </c:spPr>
          <c:marker>
            <c:symbol val="none"/>
          </c:marker>
          <c:xVal>
            <c:numRef>
              <c:f>'実験2-1_グラフ'!$B$7:$B$43</c:f>
              <c:numCache>
                <c:formatCode>0.0_ </c:formatCode>
                <c:ptCount val="3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</c:numCache>
            </c:numRef>
          </c:xVal>
          <c:yVal>
            <c:numRef>
              <c:f>'実験2-1_グラフ'!$G$7:$G$43</c:f>
              <c:numCache>
                <c:formatCode>0.000_ </c:formatCode>
                <c:ptCount val="37"/>
                <c:pt idx="0">
                  <c:v>1</c:v>
                </c:pt>
                <c:pt idx="1">
                  <c:v>0.99240387650610407</c:v>
                </c:pt>
                <c:pt idx="2">
                  <c:v>0.9698463103929541</c:v>
                </c:pt>
                <c:pt idx="3">
                  <c:v>0.93301270189221941</c:v>
                </c:pt>
                <c:pt idx="4">
                  <c:v>0.88302222155948906</c:v>
                </c:pt>
                <c:pt idx="5">
                  <c:v>0.82139380484326963</c:v>
                </c:pt>
                <c:pt idx="6">
                  <c:v>0.75000000000000011</c:v>
                </c:pt>
                <c:pt idx="7">
                  <c:v>0.67101007166283433</c:v>
                </c:pt>
                <c:pt idx="8">
                  <c:v>0.58682408883346515</c:v>
                </c:pt>
                <c:pt idx="9">
                  <c:v>0.50000000000000011</c:v>
                </c:pt>
                <c:pt idx="10">
                  <c:v>0.41317591116653485</c:v>
                </c:pt>
                <c:pt idx="11">
                  <c:v>0.32898992833716573</c:v>
                </c:pt>
                <c:pt idx="12">
                  <c:v>0.25000000000000011</c:v>
                </c:pt>
                <c:pt idx="13">
                  <c:v>0.17860619515673035</c:v>
                </c:pt>
                <c:pt idx="14">
                  <c:v>0.11697777844051105</c:v>
                </c:pt>
                <c:pt idx="15">
                  <c:v>6.698729810778066E-2</c:v>
                </c:pt>
                <c:pt idx="16">
                  <c:v>3.0153689607045831E-2</c:v>
                </c:pt>
                <c:pt idx="17">
                  <c:v>7.5961234938959638E-3</c:v>
                </c:pt>
                <c:pt idx="18">
                  <c:v>3.7524718414124473E-33</c:v>
                </c:pt>
                <c:pt idx="19">
                  <c:v>7.5961234938959812E-3</c:v>
                </c:pt>
                <c:pt idx="20">
                  <c:v>3.0153689607045793E-2</c:v>
                </c:pt>
                <c:pt idx="21">
                  <c:v>6.6987298107780716E-2</c:v>
                </c:pt>
                <c:pt idx="22">
                  <c:v>0.11697777844051097</c:v>
                </c:pt>
                <c:pt idx="23">
                  <c:v>0.17860619515673024</c:v>
                </c:pt>
                <c:pt idx="24">
                  <c:v>0.24999999999999978</c:v>
                </c:pt>
                <c:pt idx="25">
                  <c:v>0.32898992833716573</c:v>
                </c:pt>
                <c:pt idx="26">
                  <c:v>0.41317591116653485</c:v>
                </c:pt>
                <c:pt idx="27">
                  <c:v>0.49999999999999989</c:v>
                </c:pt>
                <c:pt idx="28">
                  <c:v>0.58682408883346493</c:v>
                </c:pt>
                <c:pt idx="29">
                  <c:v>0.67101007166283455</c:v>
                </c:pt>
                <c:pt idx="30">
                  <c:v>0.75000000000000011</c:v>
                </c:pt>
                <c:pt idx="31">
                  <c:v>0.82139380484326963</c:v>
                </c:pt>
                <c:pt idx="32">
                  <c:v>0.88302222155948884</c:v>
                </c:pt>
                <c:pt idx="33">
                  <c:v>0.93301270189221919</c:v>
                </c:pt>
                <c:pt idx="34">
                  <c:v>0.9698463103929541</c:v>
                </c:pt>
                <c:pt idx="35">
                  <c:v>0.99240387650610407</c:v>
                </c:pt>
                <c:pt idx="3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F93-0147-9F1C-C750115D0B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153664"/>
        <c:axId val="103156352"/>
      </c:scatterChart>
      <c:scatterChart>
        <c:scatterStyle val="lineMarker"/>
        <c:varyColors val="0"/>
        <c:ser>
          <c:idx val="1"/>
          <c:order val="1"/>
          <c:tx>
            <c:v>実験データ</c:v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'実験2-1_グラフ'!$B$7:$B$43</c:f>
              <c:numCache>
                <c:formatCode>0.0_ </c:formatCode>
                <c:ptCount val="3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</c:numCache>
            </c:numRef>
          </c:xVal>
          <c:yVal>
            <c:numRef>
              <c:f>'実験2-1_グラフ'!$E$7:$E$43</c:f>
              <c:numCache>
                <c:formatCode>0.00.E+00</c:formatCode>
                <c:ptCount val="37"/>
                <c:pt idx="0">
                  <c:v>1</c:v>
                </c:pt>
                <c:pt idx="2">
                  <c:v>0.99897959183673479</c:v>
                </c:pt>
                <c:pt idx="4">
                  <c:v>0.92346938775510201</c:v>
                </c:pt>
                <c:pt idx="6">
                  <c:v>0.77551020408163263</c:v>
                </c:pt>
                <c:pt idx="8">
                  <c:v>0.60204081632653061</c:v>
                </c:pt>
                <c:pt idx="10">
                  <c:v>0.42857142857142855</c:v>
                </c:pt>
                <c:pt idx="12">
                  <c:v>0.26530612244897961</c:v>
                </c:pt>
                <c:pt idx="14">
                  <c:v>0.12755102040816327</c:v>
                </c:pt>
                <c:pt idx="16">
                  <c:v>4.0816326530612242E-2</c:v>
                </c:pt>
                <c:pt idx="17">
                  <c:v>1.020408163265306E-2</c:v>
                </c:pt>
                <c:pt idx="18">
                  <c:v>0</c:v>
                </c:pt>
                <c:pt idx="19">
                  <c:v>0</c:v>
                </c:pt>
                <c:pt idx="20">
                  <c:v>1.8367346938775508E-2</c:v>
                </c:pt>
                <c:pt idx="22">
                  <c:v>8.1632653061224483E-2</c:v>
                </c:pt>
                <c:pt idx="24">
                  <c:v>0.19897959183673469</c:v>
                </c:pt>
                <c:pt idx="26">
                  <c:v>0.32653061224489793</c:v>
                </c:pt>
                <c:pt idx="28">
                  <c:v>0.45918367346938777</c:v>
                </c:pt>
                <c:pt idx="30">
                  <c:v>0.58673469387755106</c:v>
                </c:pt>
                <c:pt idx="32">
                  <c:v>0.69897959183673475</c:v>
                </c:pt>
                <c:pt idx="34">
                  <c:v>0.79081632653061229</c:v>
                </c:pt>
                <c:pt idx="36">
                  <c:v>0.81122448979591832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93-0147-9F1C-C750115D0B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153664"/>
        <c:axId val="103156352"/>
      </c:scatterChart>
      <c:valAx>
        <c:axId val="103153664"/>
        <c:scaling>
          <c:orientation val="minMax"/>
          <c:max val="180"/>
          <c:min val="0"/>
        </c:scaling>
        <c:delete val="0"/>
        <c:axPos val="b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ja-JP" altLang="en-US" sz="1400"/>
                  <a:t>偏光板②の角度</a:t>
                </a:r>
                <a:r>
                  <a:rPr lang="en-US" altLang="ja-JP" sz="1400"/>
                  <a:t>[degree]</a:t>
                </a:r>
                <a:endParaRPr lang="ja-JP" altLang="en-US" sz="1400"/>
              </a:p>
            </c:rich>
          </c:tx>
          <c:layout>
            <c:manualLayout>
              <c:xMode val="edge"/>
              <c:yMode val="edge"/>
              <c:x val="0.36801480395854069"/>
              <c:y val="0.8236914600550973"/>
            </c:manualLayout>
          </c:layout>
          <c:overlay val="0"/>
        </c:title>
        <c:numFmt formatCode="0.0_ " sourceLinked="1"/>
        <c:majorTickMark val="in"/>
        <c:minorTickMark val="none"/>
        <c:tickLblPos val="nextTo"/>
        <c:spPr>
          <a:solidFill>
            <a:sysClr val="window" lastClr="FFFFFF"/>
          </a:solidFill>
          <a:ln>
            <a:solidFill>
              <a:sysClr val="windowText" lastClr="000000"/>
            </a:solidFill>
          </a:ln>
        </c:spPr>
        <c:crossAx val="103156352"/>
        <c:crosses val="autoZero"/>
        <c:crossBetween val="midCat"/>
        <c:majorUnit val="15"/>
      </c:valAx>
      <c:valAx>
        <c:axId val="103156352"/>
        <c:scaling>
          <c:orientation val="minMax"/>
          <c:max val="1.2"/>
          <c:min val="0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ja-JP" altLang="en-US" sz="1400"/>
                  <a:t>透過光の相対強度</a:t>
                </a:r>
              </a:p>
            </c:rich>
          </c:tx>
          <c:layout/>
          <c:overlay val="0"/>
        </c:title>
        <c:numFmt formatCode="0.000_ " sourceLinked="1"/>
        <c:majorTickMark val="in"/>
        <c:minorTickMark val="none"/>
        <c:tickLblPos val="nextTo"/>
        <c:spPr>
          <a:solidFill>
            <a:sysClr val="window" lastClr="FFFFFF"/>
          </a:solidFill>
          <a:ln w="9525">
            <a:solidFill>
              <a:sysClr val="windowText" lastClr="000000"/>
            </a:solidFill>
          </a:ln>
        </c:spPr>
        <c:crossAx val="103153664"/>
        <c:crosses val="autoZero"/>
        <c:crossBetween val="midCat"/>
      </c:valAx>
      <c:spPr>
        <a:solidFill>
          <a:sysClr val="window" lastClr="FFFFFF"/>
        </a:solidFill>
        <a:ln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x val="0.58412742549916652"/>
          <c:y val="4.0267456237391828E-2"/>
          <c:w val="0.35042061341023206"/>
          <c:h val="8.9464011803719337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ja-JP" altLang="en-US"/>
              <a:t>図　　偏光板</a:t>
            </a:r>
            <a:r>
              <a:rPr lang="en-US" altLang="ja-JP"/>
              <a:t>3</a:t>
            </a:r>
            <a:r>
              <a:rPr lang="ja-JP" altLang="en-US"/>
              <a:t>枚（</a:t>
            </a:r>
            <a:r>
              <a:rPr lang="en-US" altLang="ja-JP"/>
              <a:t>α=0°</a:t>
            </a:r>
            <a:r>
              <a:rPr lang="ja-JP" altLang="en-US"/>
              <a:t>）の場合の測定結果</a:t>
            </a:r>
          </a:p>
        </c:rich>
      </c:tx>
      <c:layout>
        <c:manualLayout>
          <c:xMode val="edge"/>
          <c:yMode val="edge"/>
          <c:x val="0.22505921129067957"/>
          <c:y val="0.8898071625344357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2191359727495"/>
          <c:y val="2.3422919242532661E-2"/>
          <c:w val="0.85011154245331144"/>
          <c:h val="0.7367653630073101"/>
        </c:manualLayout>
      </c:layout>
      <c:scatterChart>
        <c:scatterStyle val="smoothMarker"/>
        <c:varyColors val="0"/>
        <c:ser>
          <c:idx val="0"/>
          <c:order val="0"/>
          <c:tx>
            <c:v>理論計算値（グループ2対象）</c:v>
          </c:tx>
          <c:spPr>
            <a:ln w="12700">
              <a:solidFill>
                <a:sysClr val="windowText" lastClr="000000"/>
              </a:solidFill>
            </a:ln>
          </c:spPr>
          <c:marker>
            <c:symbol val="none"/>
          </c:marker>
          <c:xVal>
            <c:numRef>
              <c:f>'実験2-2_グラフ'!$B$7:$B$43</c:f>
              <c:numCache>
                <c:formatCode>0.0_ </c:formatCode>
                <c:ptCount val="3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</c:numCache>
            </c:numRef>
          </c:xVal>
          <c:yVal>
            <c:numRef>
              <c:f>'実験2-2_グラフ'!$F$7:$F$43</c:f>
              <c:numCache>
                <c:formatCode>0.000_ </c:formatCode>
                <c:ptCount val="37"/>
                <c:pt idx="0">
                  <c:v>1.5009887365649789E-32</c:v>
                </c:pt>
                <c:pt idx="1">
                  <c:v>3.0153689607045783E-2</c:v>
                </c:pt>
                <c:pt idx="2">
                  <c:v>0.11697777844051106</c:v>
                </c:pt>
                <c:pt idx="3">
                  <c:v>0.24999999999999997</c:v>
                </c:pt>
                <c:pt idx="4">
                  <c:v>0.41317591116653507</c:v>
                </c:pt>
                <c:pt idx="5">
                  <c:v>0.58682408883346515</c:v>
                </c:pt>
                <c:pt idx="6">
                  <c:v>0.74999999999999978</c:v>
                </c:pt>
                <c:pt idx="7">
                  <c:v>0.88302222155948917</c:v>
                </c:pt>
                <c:pt idx="8">
                  <c:v>0.96984631039295421</c:v>
                </c:pt>
                <c:pt idx="9">
                  <c:v>1.0000000000000004</c:v>
                </c:pt>
                <c:pt idx="10">
                  <c:v>0.96984631039295421</c:v>
                </c:pt>
                <c:pt idx="11">
                  <c:v>0.88302222155948917</c:v>
                </c:pt>
                <c:pt idx="12">
                  <c:v>0.75000000000000022</c:v>
                </c:pt>
                <c:pt idx="13">
                  <c:v>0.58682408883346515</c:v>
                </c:pt>
                <c:pt idx="14">
                  <c:v>0.41317591116653496</c:v>
                </c:pt>
                <c:pt idx="15">
                  <c:v>0.24999999999999997</c:v>
                </c:pt>
                <c:pt idx="16">
                  <c:v>0.11697777844051106</c:v>
                </c:pt>
                <c:pt idx="17">
                  <c:v>3.0153689607045783E-2</c:v>
                </c:pt>
                <c:pt idx="18">
                  <c:v>1.5009887365649789E-32</c:v>
                </c:pt>
                <c:pt idx="19">
                  <c:v>3.0153689607045852E-2</c:v>
                </c:pt>
                <c:pt idx="20">
                  <c:v>0.11697777844051091</c:v>
                </c:pt>
                <c:pt idx="21">
                  <c:v>0.25000000000000011</c:v>
                </c:pt>
                <c:pt idx="22">
                  <c:v>0.41317591116653468</c:v>
                </c:pt>
                <c:pt idx="23">
                  <c:v>0.58682408883346482</c:v>
                </c:pt>
                <c:pt idx="24">
                  <c:v>0.74999999999999944</c:v>
                </c:pt>
                <c:pt idx="25">
                  <c:v>0.88302222155948906</c:v>
                </c:pt>
                <c:pt idx="26">
                  <c:v>0.96984631039295421</c:v>
                </c:pt>
                <c:pt idx="27">
                  <c:v>1</c:v>
                </c:pt>
                <c:pt idx="28">
                  <c:v>0.96984631039295421</c:v>
                </c:pt>
                <c:pt idx="29">
                  <c:v>0.88302222155948873</c:v>
                </c:pt>
                <c:pt idx="30">
                  <c:v>0.74999999999999978</c:v>
                </c:pt>
                <c:pt idx="31">
                  <c:v>0.58682408883346515</c:v>
                </c:pt>
                <c:pt idx="32">
                  <c:v>0.41317591116653496</c:v>
                </c:pt>
                <c:pt idx="33">
                  <c:v>0.25000000000000039</c:v>
                </c:pt>
                <c:pt idx="34">
                  <c:v>0.1169777784405108</c:v>
                </c:pt>
                <c:pt idx="35">
                  <c:v>3.0153689607045783E-2</c:v>
                </c:pt>
                <c:pt idx="36">
                  <c:v>1.5009887365649789E-32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77-3C48-9827-EDDAA83EC1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153664"/>
        <c:axId val="103156352"/>
      </c:scatterChart>
      <c:scatterChart>
        <c:scatterStyle val="lineMarker"/>
        <c:varyColors val="0"/>
        <c:ser>
          <c:idx val="1"/>
          <c:order val="1"/>
          <c:tx>
            <c:v>実験データ</c:v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'実験2-2_グラフ'!$B$7:$B$43</c:f>
              <c:numCache>
                <c:formatCode>0.0_ </c:formatCode>
                <c:ptCount val="3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</c:numCache>
            </c:numRef>
          </c:xVal>
          <c:yVal>
            <c:numRef>
              <c:f>'実験2-2_グラフ'!$E$7:$E$43</c:f>
              <c:numCache>
                <c:formatCode>0.00.E+00</c:formatCode>
                <c:ptCount val="37"/>
                <c:pt idx="0">
                  <c:v>2.5423728813559324E-2</c:v>
                </c:pt>
                <c:pt idx="2">
                  <c:v>0.2711864406779661</c:v>
                </c:pt>
                <c:pt idx="4">
                  <c:v>0.3728813559322034</c:v>
                </c:pt>
                <c:pt idx="6">
                  <c:v>0.70338983050847459</c:v>
                </c:pt>
                <c:pt idx="8">
                  <c:v>0.92372881355932202</c:v>
                </c:pt>
                <c:pt idx="9">
                  <c:v>0.96610169491525422</c:v>
                </c:pt>
                <c:pt idx="10">
                  <c:v>0.94915254237288138</c:v>
                </c:pt>
                <c:pt idx="12">
                  <c:v>0.75423728813559321</c:v>
                </c:pt>
                <c:pt idx="14">
                  <c:v>0.4152542372881356</c:v>
                </c:pt>
                <c:pt idx="16">
                  <c:v>0.13559322033898305</c:v>
                </c:pt>
                <c:pt idx="17">
                  <c:v>4.2372881355932202E-2</c:v>
                </c:pt>
                <c:pt idx="18">
                  <c:v>0</c:v>
                </c:pt>
                <c:pt idx="19">
                  <c:v>3.3898305084745763E-2</c:v>
                </c:pt>
                <c:pt idx="20">
                  <c:v>0.10169491525423729</c:v>
                </c:pt>
                <c:pt idx="22">
                  <c:v>0.3728813559322034</c:v>
                </c:pt>
                <c:pt idx="24">
                  <c:v>0.68644067796610164</c:v>
                </c:pt>
                <c:pt idx="26">
                  <c:v>0.98305084745762716</c:v>
                </c:pt>
                <c:pt idx="27">
                  <c:v>1</c:v>
                </c:pt>
                <c:pt idx="28">
                  <c:v>0.98305084745762716</c:v>
                </c:pt>
                <c:pt idx="30">
                  <c:v>0.76271186440677963</c:v>
                </c:pt>
                <c:pt idx="32">
                  <c:v>0.6271186440677966</c:v>
                </c:pt>
                <c:pt idx="34">
                  <c:v>0.1440677966101695</c:v>
                </c:pt>
                <c:pt idx="36">
                  <c:v>1.6949152542372881E-2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77-3C48-9827-EDDAA83EC1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153664"/>
        <c:axId val="103156352"/>
      </c:scatterChart>
      <c:valAx>
        <c:axId val="103153664"/>
        <c:scaling>
          <c:orientation val="minMax"/>
          <c:max val="180"/>
          <c:min val="0"/>
        </c:scaling>
        <c:delete val="0"/>
        <c:axPos val="b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ja-JP" altLang="en-US" sz="1400"/>
                  <a:t>偏光板②の角度</a:t>
                </a:r>
                <a:r>
                  <a:rPr lang="en-US" altLang="ja-JP" sz="1400"/>
                  <a:t>[degree]</a:t>
                </a:r>
                <a:endParaRPr lang="ja-JP" altLang="en-US" sz="1400"/>
              </a:p>
            </c:rich>
          </c:tx>
          <c:layout>
            <c:manualLayout>
              <c:xMode val="edge"/>
              <c:yMode val="edge"/>
              <c:x val="0.36801480395854069"/>
              <c:y val="0.8236914600550973"/>
            </c:manualLayout>
          </c:layout>
          <c:overlay val="0"/>
        </c:title>
        <c:numFmt formatCode="0.0_ " sourceLinked="1"/>
        <c:majorTickMark val="in"/>
        <c:minorTickMark val="none"/>
        <c:tickLblPos val="nextTo"/>
        <c:spPr>
          <a:solidFill>
            <a:sysClr val="window" lastClr="FFFFFF"/>
          </a:solidFill>
          <a:ln>
            <a:solidFill>
              <a:sysClr val="windowText" lastClr="000000"/>
            </a:solidFill>
          </a:ln>
        </c:spPr>
        <c:crossAx val="103156352"/>
        <c:crosses val="autoZero"/>
        <c:crossBetween val="midCat"/>
        <c:majorUnit val="15"/>
      </c:valAx>
      <c:valAx>
        <c:axId val="103156352"/>
        <c:scaling>
          <c:orientation val="minMax"/>
          <c:max val="1.2"/>
          <c:min val="0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ja-JP" altLang="en-US" sz="1400"/>
                  <a:t>透過光の相対強度</a:t>
                </a:r>
              </a:p>
            </c:rich>
          </c:tx>
          <c:layout/>
          <c:overlay val="0"/>
        </c:title>
        <c:numFmt formatCode="0.000_ " sourceLinked="1"/>
        <c:majorTickMark val="in"/>
        <c:minorTickMark val="none"/>
        <c:tickLblPos val="nextTo"/>
        <c:spPr>
          <a:solidFill>
            <a:sysClr val="window" lastClr="FFFFFF"/>
          </a:solidFill>
          <a:ln w="9525">
            <a:solidFill>
              <a:sysClr val="windowText" lastClr="000000"/>
            </a:solidFill>
          </a:ln>
        </c:spPr>
        <c:crossAx val="103153664"/>
        <c:crosses val="autoZero"/>
        <c:crossBetween val="midCat"/>
      </c:valAx>
      <c:spPr>
        <a:solidFill>
          <a:sysClr val="window" lastClr="FFFFFF"/>
        </a:solidFill>
        <a:ln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x val="0.58412742549916652"/>
          <c:y val="4.0267456237391828E-2"/>
          <c:w val="0.35042061341023206"/>
          <c:h val="8.9464011803719337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ja-JP" altLang="en-US"/>
              <a:t>図　　偏光板</a:t>
            </a:r>
            <a:r>
              <a:rPr lang="en-US" altLang="ja-JP"/>
              <a:t>3</a:t>
            </a:r>
            <a:r>
              <a:rPr lang="ja-JP" altLang="en-US"/>
              <a:t>枚（</a:t>
            </a:r>
            <a:r>
              <a:rPr lang="en-US" altLang="ja-JP"/>
              <a:t>α=10°</a:t>
            </a:r>
            <a:r>
              <a:rPr lang="ja-JP" altLang="en-US"/>
              <a:t>）の場合の測定結果</a:t>
            </a:r>
          </a:p>
        </c:rich>
      </c:tx>
      <c:layout>
        <c:manualLayout>
          <c:xMode val="edge"/>
          <c:yMode val="edge"/>
          <c:x val="0.22505921129067957"/>
          <c:y val="0.8898071625344357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2191359727495"/>
          <c:y val="2.3422919242532661E-2"/>
          <c:w val="0.85011154245331144"/>
          <c:h val="0.7367653630073101"/>
        </c:manualLayout>
      </c:layout>
      <c:scatterChart>
        <c:scatterStyle val="smoothMarker"/>
        <c:varyColors val="0"/>
        <c:ser>
          <c:idx val="0"/>
          <c:order val="0"/>
          <c:tx>
            <c:v>理論計算値（グループ2対象）</c:v>
          </c:tx>
          <c:spPr>
            <a:ln w="12700">
              <a:solidFill>
                <a:sysClr val="windowText" lastClr="000000"/>
              </a:solidFill>
            </a:ln>
          </c:spPr>
          <c:marker>
            <c:symbol val="none"/>
          </c:marker>
          <c:xVal>
            <c:numRef>
              <c:f>'実験2-3_グラフ'!$B$7:$B$43</c:f>
              <c:numCache>
                <c:formatCode>0.0_ </c:formatCode>
                <c:ptCount val="3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</c:numCache>
            </c:numRef>
          </c:xVal>
          <c:yVal>
            <c:numRef>
              <c:f>'実験2-3_グラフ'!$F$7:$F$43</c:f>
              <c:numCache>
                <c:formatCode>0.000_ </c:formatCode>
                <c:ptCount val="37"/>
                <c:pt idx="0">
                  <c:v>1.0579421425137549E-32</c:v>
                </c:pt>
                <c:pt idx="1">
                  <c:v>2.1914018609771647E-2</c:v>
                </c:pt>
                <c:pt idx="2">
                  <c:v>8.7656074439086726E-2</c:v>
                </c:pt>
                <c:pt idx="3">
                  <c:v>0.19325132069427775</c:v>
                </c:pt>
                <c:pt idx="4">
                  <c:v>0.3297978686584131</c:v>
                </c:pt>
                <c:pt idx="5">
                  <c:v>0.48442397883101757</c:v>
                </c:pt>
                <c:pt idx="6">
                  <c:v>0.64173126566823302</c:v>
                </c:pt>
                <c:pt idx="7">
                  <c:v>0.78555316567435807</c:v>
                </c:pt>
                <c:pt idx="8">
                  <c:v>0.90081957376424759</c:v>
                </c:pt>
                <c:pt idx="9">
                  <c:v>0.97530533671923614</c:v>
                </c:pt>
                <c:pt idx="10">
                  <c:v>1.0010538117303101</c:v>
                </c:pt>
                <c:pt idx="11">
                  <c:v>0.97530533671923614</c:v>
                </c:pt>
                <c:pt idx="12">
                  <c:v>0.90081957376424782</c:v>
                </c:pt>
                <c:pt idx="13">
                  <c:v>0.78555316567435807</c:v>
                </c:pt>
                <c:pt idx="14">
                  <c:v>0.64173126566823357</c:v>
                </c:pt>
                <c:pt idx="15">
                  <c:v>0.48442397883101757</c:v>
                </c:pt>
                <c:pt idx="16">
                  <c:v>0.3297978686584131</c:v>
                </c:pt>
                <c:pt idx="17">
                  <c:v>0.19325132069427775</c:v>
                </c:pt>
                <c:pt idx="18">
                  <c:v>8.7656074439086726E-2</c:v>
                </c:pt>
                <c:pt idx="19">
                  <c:v>2.1914018609771647E-2</c:v>
                </c:pt>
                <c:pt idx="20">
                  <c:v>1.0579421425137549E-32</c:v>
                </c:pt>
                <c:pt idx="21">
                  <c:v>2.060255728182225E-2</c:v>
                </c:pt>
                <c:pt idx="22">
                  <c:v>7.7402261584386192E-2</c:v>
                </c:pt>
                <c:pt idx="23">
                  <c:v>0.15995044089802404</c:v>
                </c:pt>
                <c:pt idx="24">
                  <c:v>0.25503876113483465</c:v>
                </c:pt>
                <c:pt idx="25">
                  <c:v>0.34839115061495335</c:v>
                </c:pt>
                <c:pt idx="26">
                  <c:v>0.42647099479176293</c:v>
                </c:pt>
                <c:pt idx="27">
                  <c:v>0.47818303537378753</c:v>
                </c:pt>
                <c:pt idx="28">
                  <c:v>0.49626259758225694</c:v>
                </c:pt>
                <c:pt idx="29">
                  <c:v>0.47818303537378737</c:v>
                </c:pt>
                <c:pt idx="30">
                  <c:v>0.42647099479176259</c:v>
                </c:pt>
                <c:pt idx="31">
                  <c:v>0.34839115061495307</c:v>
                </c:pt>
                <c:pt idx="32">
                  <c:v>0.2550387611348352</c:v>
                </c:pt>
                <c:pt idx="33">
                  <c:v>0.15995044089802446</c:v>
                </c:pt>
                <c:pt idx="34">
                  <c:v>7.7402261584386123E-2</c:v>
                </c:pt>
                <c:pt idx="35">
                  <c:v>2.0602557281822208E-2</c:v>
                </c:pt>
                <c:pt idx="36">
                  <c:v>1.0579421425137549E-32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87-2249-8616-5B50E3282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153664"/>
        <c:axId val="103156352"/>
      </c:scatterChart>
      <c:scatterChart>
        <c:scatterStyle val="lineMarker"/>
        <c:varyColors val="0"/>
        <c:ser>
          <c:idx val="1"/>
          <c:order val="1"/>
          <c:tx>
            <c:v>実験データ</c:v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'実験2-3_グラフ'!$B$7:$B$43</c:f>
              <c:numCache>
                <c:formatCode>0.0_ </c:formatCode>
                <c:ptCount val="3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</c:numCache>
            </c:numRef>
          </c:xVal>
          <c:yVal>
            <c:numRef>
              <c:f>'実験2-3_グラフ'!$E$7:$E$43</c:f>
              <c:numCache>
                <c:formatCode>0.00.E+00</c:formatCode>
                <c:ptCount val="37"/>
                <c:pt idx="0">
                  <c:v>0</c:v>
                </c:pt>
                <c:pt idx="2">
                  <c:v>6.0344827586206899E-2</c:v>
                </c:pt>
                <c:pt idx="4">
                  <c:v>0.31034482758620691</c:v>
                </c:pt>
                <c:pt idx="6">
                  <c:v>0.62931034482758619</c:v>
                </c:pt>
                <c:pt idx="8">
                  <c:v>0.87931034482758619</c:v>
                </c:pt>
                <c:pt idx="9">
                  <c:v>0.96551724137931039</c:v>
                </c:pt>
                <c:pt idx="10">
                  <c:v>1</c:v>
                </c:pt>
                <c:pt idx="12">
                  <c:v>0.85344827586206895</c:v>
                </c:pt>
                <c:pt idx="14">
                  <c:v>0.62068965517241381</c:v>
                </c:pt>
                <c:pt idx="16">
                  <c:v>0.33620689655172414</c:v>
                </c:pt>
                <c:pt idx="17">
                  <c:v>0.17241379310344829</c:v>
                </c:pt>
                <c:pt idx="18">
                  <c:v>8.6206896551724144E-2</c:v>
                </c:pt>
                <c:pt idx="19">
                  <c:v>1.7241379310344827E-2</c:v>
                </c:pt>
                <c:pt idx="20">
                  <c:v>8.6206896551724137E-3</c:v>
                </c:pt>
                <c:pt idx="22">
                  <c:v>0.10344827586206896</c:v>
                </c:pt>
                <c:pt idx="24">
                  <c:v>0.32758620689655171</c:v>
                </c:pt>
                <c:pt idx="26">
                  <c:v>0.51724137931034486</c:v>
                </c:pt>
                <c:pt idx="27">
                  <c:v>0.58620689655172409</c:v>
                </c:pt>
                <c:pt idx="28">
                  <c:v>0.61206896551724133</c:v>
                </c:pt>
                <c:pt idx="30">
                  <c:v>0.53448275862068961</c:v>
                </c:pt>
                <c:pt idx="32">
                  <c:v>0.32758620689655171</c:v>
                </c:pt>
                <c:pt idx="34">
                  <c:v>0.11206896551724138</c:v>
                </c:pt>
                <c:pt idx="3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87-2249-8616-5B50E3282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153664"/>
        <c:axId val="103156352"/>
      </c:scatterChart>
      <c:valAx>
        <c:axId val="103153664"/>
        <c:scaling>
          <c:orientation val="minMax"/>
          <c:max val="180"/>
          <c:min val="0"/>
        </c:scaling>
        <c:delete val="0"/>
        <c:axPos val="b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ja-JP" altLang="en-US" sz="1400"/>
                  <a:t>偏光板②の角度</a:t>
                </a:r>
                <a:r>
                  <a:rPr lang="en-US" altLang="ja-JP" sz="1400"/>
                  <a:t>[degree]</a:t>
                </a:r>
                <a:endParaRPr lang="ja-JP" altLang="en-US" sz="1400"/>
              </a:p>
            </c:rich>
          </c:tx>
          <c:layout>
            <c:manualLayout>
              <c:xMode val="edge"/>
              <c:yMode val="edge"/>
              <c:x val="0.36801480395854069"/>
              <c:y val="0.8236914600550973"/>
            </c:manualLayout>
          </c:layout>
          <c:overlay val="0"/>
        </c:title>
        <c:numFmt formatCode="0.0_ " sourceLinked="1"/>
        <c:majorTickMark val="in"/>
        <c:minorTickMark val="none"/>
        <c:tickLblPos val="nextTo"/>
        <c:spPr>
          <a:solidFill>
            <a:sysClr val="window" lastClr="FFFFFF"/>
          </a:solidFill>
          <a:ln>
            <a:solidFill>
              <a:sysClr val="windowText" lastClr="000000"/>
            </a:solidFill>
          </a:ln>
        </c:spPr>
        <c:crossAx val="103156352"/>
        <c:crosses val="autoZero"/>
        <c:crossBetween val="midCat"/>
        <c:majorUnit val="15"/>
      </c:valAx>
      <c:valAx>
        <c:axId val="103156352"/>
        <c:scaling>
          <c:orientation val="minMax"/>
          <c:max val="1.2"/>
          <c:min val="0"/>
        </c:scaling>
        <c:delete val="0"/>
        <c:axPos val="l"/>
        <c:majorGridlines>
          <c:spPr>
            <a:ln>
              <a:solidFill>
                <a:sysClr val="windowText" lastClr="000000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ja-JP" altLang="en-US" sz="1400"/>
                  <a:t>透過光の相対強度</a:t>
                </a:r>
              </a:p>
            </c:rich>
          </c:tx>
          <c:layout/>
          <c:overlay val="0"/>
        </c:title>
        <c:numFmt formatCode="0.000_ " sourceLinked="1"/>
        <c:majorTickMark val="in"/>
        <c:minorTickMark val="none"/>
        <c:tickLblPos val="nextTo"/>
        <c:spPr>
          <a:solidFill>
            <a:sysClr val="window" lastClr="FFFFFF"/>
          </a:solidFill>
          <a:ln w="9525">
            <a:solidFill>
              <a:sysClr val="windowText" lastClr="000000"/>
            </a:solidFill>
          </a:ln>
        </c:spPr>
        <c:crossAx val="103153664"/>
        <c:crosses val="autoZero"/>
        <c:crossBetween val="midCat"/>
      </c:valAx>
      <c:spPr>
        <a:solidFill>
          <a:sysClr val="window" lastClr="FFFFFF"/>
        </a:solidFill>
        <a:ln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x val="0.58412742549916652"/>
          <c:y val="4.0267456237391828E-2"/>
          <c:w val="0.35042061341023206"/>
          <c:h val="8.9464011803719337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190498</xdr:colOff>
      <xdr:row>4</xdr:row>
      <xdr:rowOff>161925</xdr:rowOff>
    </xdr:from>
    <xdr:to>
      <xdr:col>16</xdr:col>
      <xdr:colOff>380999</xdr:colOff>
      <xdr:row>32</xdr:row>
      <xdr:rowOff>152400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190498</xdr:colOff>
      <xdr:row>4</xdr:row>
      <xdr:rowOff>161925</xdr:rowOff>
    </xdr:from>
    <xdr:to>
      <xdr:col>16</xdr:col>
      <xdr:colOff>380999</xdr:colOff>
      <xdr:row>32</xdr:row>
      <xdr:rowOff>152400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942DDDD-E4D1-9140-A074-044EFD8E7A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190498</xdr:colOff>
      <xdr:row>4</xdr:row>
      <xdr:rowOff>161925</xdr:rowOff>
    </xdr:from>
    <xdr:to>
      <xdr:col>16</xdr:col>
      <xdr:colOff>380999</xdr:colOff>
      <xdr:row>32</xdr:row>
      <xdr:rowOff>152400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877405F-145E-6E4C-B2EC-860BA8C33A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Z44"/>
  <sheetViews>
    <sheetView tabSelected="1" zoomScale="60" zoomScaleNormal="60" zoomScaleSheetLayoutView="70" workbookViewId="0">
      <selection activeCell="G7" sqref="G7:G43"/>
    </sheetView>
  </sheetViews>
  <sheetFormatPr defaultColWidth="8.875" defaultRowHeight="13.5" x14ac:dyDescent="0.15"/>
  <cols>
    <col min="1" max="1" width="3.125" customWidth="1"/>
    <col min="3" max="4" width="10" customWidth="1"/>
    <col min="5" max="6" width="15.875" customWidth="1"/>
    <col min="7" max="7" width="17.5" customWidth="1"/>
    <col min="17" max="17" width="5" customWidth="1"/>
    <col min="18" max="18" width="3.375" customWidth="1"/>
    <col min="26" max="26" width="8.875" customWidth="1"/>
  </cols>
  <sheetData>
    <row r="1" spans="2:26" ht="27.75" customHeight="1" x14ac:dyDescent="0.15">
      <c r="B1" s="19" t="s">
        <v>11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2:26" ht="13.5" customHeight="1" x14ac:dyDescent="0.15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2:26" ht="13.5" customHeight="1" x14ac:dyDescent="0.15"/>
    <row r="4" spans="2:26" x14ac:dyDescent="0.15">
      <c r="B4" t="s">
        <v>5</v>
      </c>
      <c r="E4" s="9"/>
      <c r="F4" s="9"/>
    </row>
    <row r="5" spans="2:26" ht="14.25" thickBot="1" x14ac:dyDescent="0.2">
      <c r="B5" s="25" t="s">
        <v>8</v>
      </c>
      <c r="C5" s="25"/>
      <c r="D5" s="25"/>
      <c r="E5" s="25"/>
      <c r="F5" s="25"/>
      <c r="G5" s="25"/>
    </row>
    <row r="6" spans="2:26" ht="28.5" customHeight="1" x14ac:dyDescent="0.15">
      <c r="B6" s="1" t="s">
        <v>0</v>
      </c>
      <c r="C6" s="4" t="s">
        <v>3</v>
      </c>
      <c r="D6" s="4" t="s">
        <v>4</v>
      </c>
      <c r="E6" s="4" t="s">
        <v>2</v>
      </c>
      <c r="F6" s="21" t="s">
        <v>14</v>
      </c>
      <c r="G6" s="2" t="s">
        <v>15</v>
      </c>
      <c r="S6" s="12" t="s">
        <v>1</v>
      </c>
      <c r="T6" s="13"/>
      <c r="U6" s="13"/>
      <c r="V6" s="13"/>
      <c r="W6" s="13"/>
      <c r="X6" s="13"/>
      <c r="Y6" s="13"/>
      <c r="Z6" s="14"/>
    </row>
    <row r="7" spans="2:26" ht="15" customHeight="1" thickBot="1" x14ac:dyDescent="0.2">
      <c r="B7" s="5">
        <v>0</v>
      </c>
      <c r="C7" s="6">
        <v>100</v>
      </c>
      <c r="D7" s="6">
        <f>C7-2</f>
        <v>98</v>
      </c>
      <c r="E7" s="7">
        <f>D7/98</f>
        <v>1</v>
      </c>
      <c r="F7" s="22">
        <f>COS(PI()/180*B7)^2</f>
        <v>1</v>
      </c>
      <c r="G7" s="8">
        <f>F7</f>
        <v>1</v>
      </c>
      <c r="S7" s="15"/>
      <c r="T7" s="16"/>
      <c r="U7" s="16"/>
      <c r="V7" s="16"/>
      <c r="W7" s="16"/>
      <c r="X7" s="16"/>
      <c r="Y7" s="16"/>
      <c r="Z7" s="17"/>
    </row>
    <row r="8" spans="2:26" ht="13.5" customHeight="1" x14ac:dyDescent="0.15">
      <c r="B8" s="5">
        <v>5</v>
      </c>
      <c r="C8" s="10"/>
      <c r="D8" s="10"/>
      <c r="E8" s="10"/>
      <c r="F8" s="22">
        <f t="shared" ref="F8:F43" si="0">COS(PI()/180*B8)^2</f>
        <v>0.99240387650610407</v>
      </c>
      <c r="G8" s="8">
        <f t="shared" ref="G8:G43" si="1">F8</f>
        <v>0.99240387650610407</v>
      </c>
      <c r="S8" s="26" t="s">
        <v>6</v>
      </c>
      <c r="T8" s="27"/>
      <c r="U8" s="27"/>
      <c r="V8" s="27"/>
      <c r="W8" s="27"/>
      <c r="X8" s="27"/>
      <c r="Y8" s="27"/>
      <c r="Z8" s="27"/>
    </row>
    <row r="9" spans="2:26" ht="13.5" customHeight="1" x14ac:dyDescent="0.15">
      <c r="B9" s="5">
        <v>10</v>
      </c>
      <c r="C9" s="6">
        <v>99.9</v>
      </c>
      <c r="D9" s="6">
        <f t="shared" ref="D9:D43" si="2">C9-2</f>
        <v>97.9</v>
      </c>
      <c r="E9" s="7">
        <f t="shared" ref="E9:E43" si="3">D9/98</f>
        <v>0.99897959183673479</v>
      </c>
      <c r="F9" s="22">
        <f t="shared" si="0"/>
        <v>0.9698463103929541</v>
      </c>
      <c r="G9" s="8">
        <f t="shared" si="1"/>
        <v>0.9698463103929541</v>
      </c>
      <c r="S9" s="28"/>
      <c r="T9" s="28"/>
      <c r="U9" s="28"/>
      <c r="V9" s="28"/>
      <c r="W9" s="28"/>
      <c r="X9" s="28"/>
      <c r="Y9" s="28"/>
      <c r="Z9" s="28"/>
    </row>
    <row r="10" spans="2:26" ht="13.5" customHeight="1" x14ac:dyDescent="0.15">
      <c r="B10" s="5">
        <v>15</v>
      </c>
      <c r="C10" s="10"/>
      <c r="D10" s="10"/>
      <c r="E10" s="10"/>
      <c r="F10" s="22">
        <f t="shared" si="0"/>
        <v>0.93301270189221941</v>
      </c>
      <c r="G10" s="8">
        <f t="shared" si="1"/>
        <v>0.93301270189221941</v>
      </c>
      <c r="S10" s="28"/>
      <c r="T10" s="28"/>
      <c r="U10" s="28"/>
      <c r="V10" s="28"/>
      <c r="W10" s="28"/>
      <c r="X10" s="28"/>
      <c r="Y10" s="28"/>
      <c r="Z10" s="28"/>
    </row>
    <row r="11" spans="2:26" ht="13.5" customHeight="1" x14ac:dyDescent="0.15">
      <c r="B11" s="5">
        <v>20</v>
      </c>
      <c r="C11" s="6">
        <v>92.5</v>
      </c>
      <c r="D11" s="6">
        <f t="shared" si="2"/>
        <v>90.5</v>
      </c>
      <c r="E11" s="7">
        <f t="shared" si="3"/>
        <v>0.92346938775510201</v>
      </c>
      <c r="F11" s="22">
        <f t="shared" si="0"/>
        <v>0.88302222155948906</v>
      </c>
      <c r="G11" s="8">
        <f t="shared" si="1"/>
        <v>0.88302222155948906</v>
      </c>
      <c r="S11" s="28"/>
      <c r="T11" s="28"/>
      <c r="U11" s="28"/>
      <c r="V11" s="28"/>
      <c r="W11" s="28"/>
      <c r="X11" s="28"/>
      <c r="Y11" s="28"/>
      <c r="Z11" s="28"/>
    </row>
    <row r="12" spans="2:26" ht="13.5" customHeight="1" x14ac:dyDescent="0.15">
      <c r="B12" s="5">
        <v>25</v>
      </c>
      <c r="C12" s="10"/>
      <c r="D12" s="10"/>
      <c r="E12" s="10"/>
      <c r="F12" s="22">
        <f t="shared" si="0"/>
        <v>0.82139380484326963</v>
      </c>
      <c r="G12" s="8">
        <f t="shared" si="1"/>
        <v>0.82139380484326963</v>
      </c>
      <c r="S12" s="28"/>
      <c r="T12" s="28"/>
      <c r="U12" s="28"/>
      <c r="V12" s="28"/>
      <c r="W12" s="28"/>
      <c r="X12" s="28"/>
      <c r="Y12" s="28"/>
      <c r="Z12" s="28"/>
    </row>
    <row r="13" spans="2:26" ht="13.5" customHeight="1" x14ac:dyDescent="0.15">
      <c r="B13" s="5">
        <v>30</v>
      </c>
      <c r="C13" s="6">
        <v>78</v>
      </c>
      <c r="D13" s="6">
        <f t="shared" si="2"/>
        <v>76</v>
      </c>
      <c r="E13" s="7">
        <f t="shared" si="3"/>
        <v>0.77551020408163263</v>
      </c>
      <c r="F13" s="22">
        <f t="shared" si="0"/>
        <v>0.75000000000000011</v>
      </c>
      <c r="G13" s="8">
        <f t="shared" si="1"/>
        <v>0.75000000000000011</v>
      </c>
      <c r="S13" s="28"/>
      <c r="T13" s="28"/>
      <c r="U13" s="28"/>
      <c r="V13" s="28"/>
      <c r="W13" s="28"/>
      <c r="X13" s="28"/>
      <c r="Y13" s="28"/>
      <c r="Z13" s="28"/>
    </row>
    <row r="14" spans="2:26" ht="13.5" customHeight="1" x14ac:dyDescent="0.15">
      <c r="B14" s="5">
        <v>35</v>
      </c>
      <c r="C14" s="10"/>
      <c r="D14" s="10"/>
      <c r="E14" s="10"/>
      <c r="F14" s="22">
        <f t="shared" si="0"/>
        <v>0.67101007166283433</v>
      </c>
      <c r="G14" s="8">
        <f t="shared" si="1"/>
        <v>0.67101007166283433</v>
      </c>
      <c r="S14" s="28"/>
      <c r="T14" s="28"/>
      <c r="U14" s="28"/>
      <c r="V14" s="28"/>
      <c r="W14" s="28"/>
      <c r="X14" s="28"/>
      <c r="Y14" s="28"/>
      <c r="Z14" s="28"/>
    </row>
    <row r="15" spans="2:26" ht="14.25" customHeight="1" x14ac:dyDescent="0.15">
      <c r="B15" s="5">
        <v>40</v>
      </c>
      <c r="C15" s="6">
        <v>61</v>
      </c>
      <c r="D15" s="6">
        <f t="shared" si="2"/>
        <v>59</v>
      </c>
      <c r="E15" s="7">
        <f t="shared" si="3"/>
        <v>0.60204081632653061</v>
      </c>
      <c r="F15" s="22">
        <f t="shared" si="0"/>
        <v>0.58682408883346515</v>
      </c>
      <c r="G15" s="8">
        <f t="shared" si="1"/>
        <v>0.58682408883346515</v>
      </c>
      <c r="S15" s="28"/>
      <c r="T15" s="28"/>
      <c r="U15" s="28"/>
      <c r="V15" s="28"/>
      <c r="W15" s="28"/>
      <c r="X15" s="28"/>
      <c r="Y15" s="28"/>
      <c r="Z15" s="28"/>
    </row>
    <row r="16" spans="2:26" ht="13.5" customHeight="1" x14ac:dyDescent="0.15">
      <c r="B16" s="5">
        <v>45</v>
      </c>
      <c r="C16" s="10"/>
      <c r="D16" s="10"/>
      <c r="E16" s="10"/>
      <c r="F16" s="22">
        <f t="shared" si="0"/>
        <v>0.50000000000000011</v>
      </c>
      <c r="G16" s="8">
        <f t="shared" si="1"/>
        <v>0.50000000000000011</v>
      </c>
      <c r="S16" s="28"/>
      <c r="T16" s="28"/>
      <c r="U16" s="28"/>
      <c r="V16" s="28"/>
      <c r="W16" s="28"/>
      <c r="X16" s="28"/>
      <c r="Y16" s="28"/>
      <c r="Z16" s="28"/>
    </row>
    <row r="17" spans="2:26" ht="13.5" customHeight="1" x14ac:dyDescent="0.15">
      <c r="B17" s="5">
        <v>50</v>
      </c>
      <c r="C17" s="6">
        <v>44</v>
      </c>
      <c r="D17" s="6">
        <f t="shared" si="2"/>
        <v>42</v>
      </c>
      <c r="E17" s="7">
        <f t="shared" si="3"/>
        <v>0.42857142857142855</v>
      </c>
      <c r="F17" s="22">
        <f t="shared" si="0"/>
        <v>0.41317591116653485</v>
      </c>
      <c r="G17" s="8">
        <f t="shared" si="1"/>
        <v>0.41317591116653485</v>
      </c>
      <c r="S17" s="28"/>
      <c r="T17" s="28"/>
      <c r="U17" s="28"/>
      <c r="V17" s="28"/>
      <c r="W17" s="28"/>
      <c r="X17" s="28"/>
      <c r="Y17" s="28"/>
      <c r="Z17" s="28"/>
    </row>
    <row r="18" spans="2:26" ht="13.5" customHeight="1" x14ac:dyDescent="0.15">
      <c r="B18" s="5">
        <v>55</v>
      </c>
      <c r="C18" s="10"/>
      <c r="D18" s="10"/>
      <c r="E18" s="10"/>
      <c r="F18" s="22">
        <f t="shared" si="0"/>
        <v>0.32898992833716573</v>
      </c>
      <c r="G18" s="8">
        <f t="shared" si="1"/>
        <v>0.32898992833716573</v>
      </c>
      <c r="S18" s="28"/>
      <c r="T18" s="28"/>
      <c r="U18" s="28"/>
      <c r="V18" s="28"/>
      <c r="W18" s="28"/>
      <c r="X18" s="28"/>
      <c r="Y18" s="28"/>
      <c r="Z18" s="28"/>
    </row>
    <row r="19" spans="2:26" ht="13.5" customHeight="1" x14ac:dyDescent="0.15">
      <c r="B19" s="5">
        <v>60</v>
      </c>
      <c r="C19" s="6">
        <v>28</v>
      </c>
      <c r="D19" s="6">
        <f t="shared" si="2"/>
        <v>26</v>
      </c>
      <c r="E19" s="7">
        <f t="shared" si="3"/>
        <v>0.26530612244897961</v>
      </c>
      <c r="F19" s="22">
        <f t="shared" si="0"/>
        <v>0.25000000000000011</v>
      </c>
      <c r="G19" s="8">
        <f t="shared" si="1"/>
        <v>0.25000000000000011</v>
      </c>
      <c r="S19" s="28"/>
      <c r="T19" s="28"/>
      <c r="U19" s="28"/>
      <c r="V19" s="28"/>
      <c r="W19" s="28"/>
      <c r="X19" s="28"/>
      <c r="Y19" s="28"/>
      <c r="Z19" s="28"/>
    </row>
    <row r="20" spans="2:26" ht="13.5" customHeight="1" x14ac:dyDescent="0.15">
      <c r="B20" s="5">
        <v>65</v>
      </c>
      <c r="C20" s="10"/>
      <c r="D20" s="10"/>
      <c r="E20" s="10"/>
      <c r="F20" s="22">
        <f t="shared" si="0"/>
        <v>0.17860619515673035</v>
      </c>
      <c r="G20" s="8">
        <f t="shared" si="1"/>
        <v>0.17860619515673035</v>
      </c>
      <c r="S20" s="28"/>
      <c r="T20" s="28"/>
      <c r="U20" s="28"/>
      <c r="V20" s="28"/>
      <c r="W20" s="28"/>
      <c r="X20" s="28"/>
      <c r="Y20" s="28"/>
      <c r="Z20" s="28"/>
    </row>
    <row r="21" spans="2:26" ht="13.5" customHeight="1" x14ac:dyDescent="0.15">
      <c r="B21" s="5">
        <v>70</v>
      </c>
      <c r="C21" s="6">
        <v>14.5</v>
      </c>
      <c r="D21" s="6">
        <f t="shared" si="2"/>
        <v>12.5</v>
      </c>
      <c r="E21" s="7">
        <f t="shared" si="3"/>
        <v>0.12755102040816327</v>
      </c>
      <c r="F21" s="22">
        <f t="shared" si="0"/>
        <v>0.11697777844051105</v>
      </c>
      <c r="G21" s="8">
        <f t="shared" si="1"/>
        <v>0.11697777844051105</v>
      </c>
      <c r="S21" s="28"/>
      <c r="T21" s="28"/>
      <c r="U21" s="28"/>
      <c r="V21" s="28"/>
      <c r="W21" s="28"/>
      <c r="X21" s="28"/>
      <c r="Y21" s="28"/>
      <c r="Z21" s="28"/>
    </row>
    <row r="22" spans="2:26" ht="13.5" customHeight="1" x14ac:dyDescent="0.15">
      <c r="B22" s="5">
        <v>75</v>
      </c>
      <c r="C22" s="10"/>
      <c r="D22" s="10"/>
      <c r="E22" s="10"/>
      <c r="F22" s="22">
        <f t="shared" si="0"/>
        <v>6.698729810778066E-2</v>
      </c>
      <c r="G22" s="8">
        <f t="shared" si="1"/>
        <v>6.698729810778066E-2</v>
      </c>
      <c r="S22" s="28"/>
      <c r="T22" s="28"/>
      <c r="U22" s="28"/>
      <c r="V22" s="28"/>
      <c r="W22" s="28"/>
      <c r="X22" s="28"/>
      <c r="Y22" s="28"/>
      <c r="Z22" s="28"/>
    </row>
    <row r="23" spans="2:26" ht="13.5" customHeight="1" x14ac:dyDescent="0.15">
      <c r="B23" s="5">
        <v>80</v>
      </c>
      <c r="C23" s="6">
        <v>6</v>
      </c>
      <c r="D23" s="6">
        <f t="shared" si="2"/>
        <v>4</v>
      </c>
      <c r="E23" s="7">
        <f t="shared" si="3"/>
        <v>4.0816326530612242E-2</v>
      </c>
      <c r="F23" s="22">
        <f t="shared" si="0"/>
        <v>3.0153689607045831E-2</v>
      </c>
      <c r="G23" s="8">
        <f t="shared" si="1"/>
        <v>3.0153689607045831E-2</v>
      </c>
      <c r="S23" s="28"/>
      <c r="T23" s="28"/>
      <c r="U23" s="28"/>
      <c r="V23" s="28"/>
      <c r="W23" s="28"/>
      <c r="X23" s="28"/>
      <c r="Y23" s="28"/>
      <c r="Z23" s="28"/>
    </row>
    <row r="24" spans="2:26" ht="13.5" customHeight="1" x14ac:dyDescent="0.15">
      <c r="B24" s="5">
        <v>85</v>
      </c>
      <c r="C24" s="6">
        <v>3</v>
      </c>
      <c r="D24" s="6">
        <f t="shared" si="2"/>
        <v>1</v>
      </c>
      <c r="E24" s="7">
        <f t="shared" si="3"/>
        <v>1.020408163265306E-2</v>
      </c>
      <c r="F24" s="22">
        <f t="shared" si="0"/>
        <v>7.5961234938959638E-3</v>
      </c>
      <c r="G24" s="8">
        <f t="shared" si="1"/>
        <v>7.5961234938959638E-3</v>
      </c>
      <c r="S24" s="28"/>
      <c r="T24" s="28"/>
      <c r="U24" s="28"/>
      <c r="V24" s="28"/>
      <c r="W24" s="28"/>
      <c r="X24" s="28"/>
      <c r="Y24" s="28"/>
      <c r="Z24" s="28"/>
    </row>
    <row r="25" spans="2:26" ht="13.5" customHeight="1" x14ac:dyDescent="0.15">
      <c r="B25" s="5">
        <v>90</v>
      </c>
      <c r="C25" s="6">
        <v>2</v>
      </c>
      <c r="D25" s="6">
        <f t="shared" si="2"/>
        <v>0</v>
      </c>
      <c r="E25" s="7">
        <f t="shared" si="3"/>
        <v>0</v>
      </c>
      <c r="F25" s="22">
        <f t="shared" si="0"/>
        <v>3.7524718414124473E-33</v>
      </c>
      <c r="G25" s="8">
        <f t="shared" si="1"/>
        <v>3.7524718414124473E-33</v>
      </c>
      <c r="S25" s="28"/>
      <c r="T25" s="28"/>
      <c r="U25" s="28"/>
      <c r="V25" s="28"/>
      <c r="W25" s="28"/>
      <c r="X25" s="28"/>
      <c r="Y25" s="28"/>
      <c r="Z25" s="28"/>
    </row>
    <row r="26" spans="2:26" ht="14.25" customHeight="1" x14ac:dyDescent="0.15">
      <c r="B26" s="5">
        <v>95</v>
      </c>
      <c r="C26" s="20">
        <v>2</v>
      </c>
      <c r="D26" s="6">
        <f t="shared" si="2"/>
        <v>0</v>
      </c>
      <c r="E26" s="7">
        <f t="shared" si="3"/>
        <v>0</v>
      </c>
      <c r="F26" s="22">
        <f t="shared" si="0"/>
        <v>7.5961234938959812E-3</v>
      </c>
      <c r="G26" s="8">
        <f t="shared" si="1"/>
        <v>7.5961234938959812E-3</v>
      </c>
      <c r="S26" s="28"/>
      <c r="T26" s="28"/>
      <c r="U26" s="28"/>
      <c r="V26" s="28"/>
      <c r="W26" s="28"/>
      <c r="X26" s="28"/>
      <c r="Y26" s="28"/>
      <c r="Z26" s="28"/>
    </row>
    <row r="27" spans="2:26" ht="14.1" customHeight="1" x14ac:dyDescent="0.15">
      <c r="B27" s="5">
        <v>100</v>
      </c>
      <c r="C27" s="6">
        <v>3.8</v>
      </c>
      <c r="D27" s="6">
        <f t="shared" si="2"/>
        <v>1.7999999999999998</v>
      </c>
      <c r="E27" s="7">
        <f t="shared" si="3"/>
        <v>1.8367346938775508E-2</v>
      </c>
      <c r="F27" s="22">
        <f t="shared" si="0"/>
        <v>3.0153689607045793E-2</v>
      </c>
      <c r="G27" s="8">
        <f t="shared" si="1"/>
        <v>3.0153689607045793E-2</v>
      </c>
      <c r="S27" s="28"/>
      <c r="T27" s="28"/>
      <c r="U27" s="28"/>
      <c r="V27" s="28"/>
      <c r="W27" s="28"/>
      <c r="X27" s="28"/>
      <c r="Y27" s="28"/>
      <c r="Z27" s="28"/>
    </row>
    <row r="28" spans="2:26" ht="14.1" customHeight="1" x14ac:dyDescent="0.15">
      <c r="B28" s="5">
        <v>105</v>
      </c>
      <c r="C28" s="10"/>
      <c r="D28" s="10"/>
      <c r="E28" s="10"/>
      <c r="F28" s="22">
        <f t="shared" si="0"/>
        <v>6.6987298107780716E-2</v>
      </c>
      <c r="G28" s="8">
        <f t="shared" si="1"/>
        <v>6.6987298107780716E-2</v>
      </c>
      <c r="S28" s="28"/>
      <c r="T28" s="28"/>
      <c r="U28" s="28"/>
      <c r="V28" s="28"/>
      <c r="W28" s="28"/>
      <c r="X28" s="28"/>
      <c r="Y28" s="28"/>
      <c r="Z28" s="28"/>
    </row>
    <row r="29" spans="2:26" ht="14.1" customHeight="1" x14ac:dyDescent="0.15">
      <c r="B29" s="5">
        <v>110</v>
      </c>
      <c r="C29" s="6">
        <v>10</v>
      </c>
      <c r="D29" s="6">
        <f t="shared" si="2"/>
        <v>8</v>
      </c>
      <c r="E29" s="7">
        <f t="shared" si="3"/>
        <v>8.1632653061224483E-2</v>
      </c>
      <c r="F29" s="22">
        <f t="shared" si="0"/>
        <v>0.11697777844051097</v>
      </c>
      <c r="G29" s="8">
        <f t="shared" si="1"/>
        <v>0.11697777844051097</v>
      </c>
      <c r="S29" s="28"/>
      <c r="T29" s="28"/>
      <c r="U29" s="28"/>
      <c r="V29" s="28"/>
      <c r="W29" s="28"/>
      <c r="X29" s="28"/>
      <c r="Y29" s="28"/>
      <c r="Z29" s="28"/>
    </row>
    <row r="30" spans="2:26" ht="14.1" customHeight="1" x14ac:dyDescent="0.15">
      <c r="B30" s="5">
        <v>115</v>
      </c>
      <c r="C30" s="10"/>
      <c r="D30" s="10"/>
      <c r="E30" s="10"/>
      <c r="F30" s="22">
        <f t="shared" si="0"/>
        <v>0.17860619515673024</v>
      </c>
      <c r="G30" s="8">
        <f t="shared" si="1"/>
        <v>0.17860619515673024</v>
      </c>
      <c r="S30" s="28"/>
      <c r="T30" s="28"/>
      <c r="U30" s="28"/>
      <c r="V30" s="28"/>
      <c r="W30" s="28"/>
      <c r="X30" s="28"/>
      <c r="Y30" s="28"/>
      <c r="Z30" s="28"/>
    </row>
    <row r="31" spans="2:26" ht="14.1" customHeight="1" x14ac:dyDescent="0.15">
      <c r="B31" s="5">
        <v>120</v>
      </c>
      <c r="C31" s="6">
        <v>21.5</v>
      </c>
      <c r="D31" s="6">
        <f t="shared" si="2"/>
        <v>19.5</v>
      </c>
      <c r="E31" s="7">
        <f t="shared" si="3"/>
        <v>0.19897959183673469</v>
      </c>
      <c r="F31" s="22">
        <f t="shared" si="0"/>
        <v>0.24999999999999978</v>
      </c>
      <c r="G31" s="8">
        <f t="shared" si="1"/>
        <v>0.24999999999999978</v>
      </c>
      <c r="S31" s="28"/>
      <c r="T31" s="28"/>
      <c r="U31" s="28"/>
      <c r="V31" s="28"/>
      <c r="W31" s="28"/>
      <c r="X31" s="28"/>
      <c r="Y31" s="28"/>
      <c r="Z31" s="28"/>
    </row>
    <row r="32" spans="2:26" ht="14.1" customHeight="1" x14ac:dyDescent="0.15">
      <c r="B32" s="5">
        <v>125</v>
      </c>
      <c r="C32" s="10"/>
      <c r="D32" s="10"/>
      <c r="E32" s="10"/>
      <c r="F32" s="22">
        <f t="shared" si="0"/>
        <v>0.32898992833716573</v>
      </c>
      <c r="G32" s="8">
        <f t="shared" si="1"/>
        <v>0.32898992833716573</v>
      </c>
      <c r="S32" s="28"/>
      <c r="T32" s="28"/>
      <c r="U32" s="28"/>
      <c r="V32" s="28"/>
      <c r="W32" s="28"/>
      <c r="X32" s="28"/>
      <c r="Y32" s="28"/>
      <c r="Z32" s="28"/>
    </row>
    <row r="33" spans="2:26" ht="14.1" customHeight="1" x14ac:dyDescent="0.15">
      <c r="B33" s="5">
        <v>130</v>
      </c>
      <c r="C33" s="6">
        <v>34</v>
      </c>
      <c r="D33" s="6">
        <f t="shared" si="2"/>
        <v>32</v>
      </c>
      <c r="E33" s="7">
        <f t="shared" si="3"/>
        <v>0.32653061224489793</v>
      </c>
      <c r="F33" s="22">
        <f t="shared" si="0"/>
        <v>0.41317591116653485</v>
      </c>
      <c r="G33" s="8">
        <f t="shared" si="1"/>
        <v>0.41317591116653485</v>
      </c>
      <c r="S33" s="28"/>
      <c r="T33" s="28"/>
      <c r="U33" s="28"/>
      <c r="V33" s="28"/>
      <c r="W33" s="28"/>
      <c r="X33" s="28"/>
      <c r="Y33" s="28"/>
      <c r="Z33" s="28"/>
    </row>
    <row r="34" spans="2:26" x14ac:dyDescent="0.15">
      <c r="B34" s="5">
        <v>135</v>
      </c>
      <c r="C34" s="10"/>
      <c r="D34" s="10"/>
      <c r="E34" s="10"/>
      <c r="F34" s="22">
        <f t="shared" si="0"/>
        <v>0.49999999999999989</v>
      </c>
      <c r="G34" s="8">
        <f t="shared" si="1"/>
        <v>0.49999999999999989</v>
      </c>
    </row>
    <row r="35" spans="2:26" x14ac:dyDescent="0.15">
      <c r="B35" s="5">
        <v>140</v>
      </c>
      <c r="C35" s="6">
        <v>47</v>
      </c>
      <c r="D35" s="6">
        <f t="shared" si="2"/>
        <v>45</v>
      </c>
      <c r="E35" s="7">
        <f t="shared" si="3"/>
        <v>0.45918367346938777</v>
      </c>
      <c r="F35" s="22">
        <f t="shared" si="0"/>
        <v>0.58682408883346493</v>
      </c>
      <c r="G35" s="8">
        <f t="shared" si="1"/>
        <v>0.58682408883346493</v>
      </c>
    </row>
    <row r="36" spans="2:26" x14ac:dyDescent="0.15">
      <c r="B36" s="5">
        <v>145</v>
      </c>
      <c r="C36" s="10"/>
      <c r="D36" s="10"/>
      <c r="E36" s="10"/>
      <c r="F36" s="22">
        <f t="shared" si="0"/>
        <v>0.67101007166283455</v>
      </c>
      <c r="G36" s="8">
        <f t="shared" si="1"/>
        <v>0.67101007166283455</v>
      </c>
    </row>
    <row r="37" spans="2:26" x14ac:dyDescent="0.15">
      <c r="B37" s="5">
        <v>150</v>
      </c>
      <c r="C37" s="6">
        <v>59.5</v>
      </c>
      <c r="D37" s="6">
        <f t="shared" si="2"/>
        <v>57.5</v>
      </c>
      <c r="E37" s="7">
        <f t="shared" si="3"/>
        <v>0.58673469387755106</v>
      </c>
      <c r="F37" s="22">
        <f t="shared" si="0"/>
        <v>0.75000000000000011</v>
      </c>
      <c r="G37" s="8">
        <f t="shared" si="1"/>
        <v>0.75000000000000011</v>
      </c>
    </row>
    <row r="38" spans="2:26" x14ac:dyDescent="0.15">
      <c r="B38" s="5">
        <v>155</v>
      </c>
      <c r="C38" s="10"/>
      <c r="D38" s="10"/>
      <c r="E38" s="10"/>
      <c r="F38" s="22">
        <f t="shared" si="0"/>
        <v>0.82139380484326963</v>
      </c>
      <c r="G38" s="8">
        <f t="shared" si="1"/>
        <v>0.82139380484326963</v>
      </c>
    </row>
    <row r="39" spans="2:26" x14ac:dyDescent="0.15">
      <c r="B39" s="5">
        <v>160</v>
      </c>
      <c r="C39" s="6">
        <v>70.5</v>
      </c>
      <c r="D39" s="6">
        <f t="shared" si="2"/>
        <v>68.5</v>
      </c>
      <c r="E39" s="7">
        <f t="shared" si="3"/>
        <v>0.69897959183673475</v>
      </c>
      <c r="F39" s="22">
        <f t="shared" si="0"/>
        <v>0.88302222155948884</v>
      </c>
      <c r="G39" s="8">
        <f t="shared" si="1"/>
        <v>0.88302222155948884</v>
      </c>
    </row>
    <row r="40" spans="2:26" x14ac:dyDescent="0.15">
      <c r="B40" s="5">
        <v>165</v>
      </c>
      <c r="C40" s="10"/>
      <c r="D40" s="10"/>
      <c r="E40" s="10"/>
      <c r="F40" s="22">
        <f t="shared" si="0"/>
        <v>0.93301270189221919</v>
      </c>
      <c r="G40" s="8">
        <f t="shared" si="1"/>
        <v>0.93301270189221919</v>
      </c>
    </row>
    <row r="41" spans="2:26" x14ac:dyDescent="0.15">
      <c r="B41" s="5">
        <v>170</v>
      </c>
      <c r="C41" s="6">
        <v>79.5</v>
      </c>
      <c r="D41" s="6">
        <f t="shared" si="2"/>
        <v>77.5</v>
      </c>
      <c r="E41" s="7">
        <f t="shared" si="3"/>
        <v>0.79081632653061229</v>
      </c>
      <c r="F41" s="22">
        <f t="shared" si="0"/>
        <v>0.9698463103929541</v>
      </c>
      <c r="G41" s="8">
        <f t="shared" si="1"/>
        <v>0.9698463103929541</v>
      </c>
    </row>
    <row r="42" spans="2:26" x14ac:dyDescent="0.15">
      <c r="B42" s="5">
        <v>175</v>
      </c>
      <c r="C42" s="10"/>
      <c r="D42" s="10"/>
      <c r="E42" s="10"/>
      <c r="F42" s="22">
        <f t="shared" si="0"/>
        <v>0.99240387650610407</v>
      </c>
      <c r="G42" s="8">
        <f t="shared" si="1"/>
        <v>0.99240387650610407</v>
      </c>
    </row>
    <row r="43" spans="2:26" x14ac:dyDescent="0.15">
      <c r="B43" s="5">
        <v>180</v>
      </c>
      <c r="C43" s="6">
        <v>81.5</v>
      </c>
      <c r="D43" s="6">
        <f t="shared" si="2"/>
        <v>79.5</v>
      </c>
      <c r="E43" s="7">
        <f t="shared" si="3"/>
        <v>0.81122448979591832</v>
      </c>
      <c r="F43" s="22">
        <f t="shared" si="0"/>
        <v>1</v>
      </c>
      <c r="G43" s="8">
        <f t="shared" si="1"/>
        <v>1</v>
      </c>
    </row>
    <row r="44" spans="2:26" x14ac:dyDescent="0.15">
      <c r="G44" s="18" t="s">
        <v>7</v>
      </c>
    </row>
  </sheetData>
  <mergeCells count="2">
    <mergeCell ref="B5:G5"/>
    <mergeCell ref="S8:Z33"/>
  </mergeCells>
  <phoneticPr fontId="4"/>
  <pageMargins left="0.78740157480314965" right="0" top="0" bottom="0" header="0.31496062992125984" footer="0.31496062992125984"/>
  <pageSetup paperSize="9" scale="56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Z46"/>
  <sheetViews>
    <sheetView topLeftCell="E1" zoomScaleNormal="100" zoomScaleSheetLayoutView="70" workbookViewId="0">
      <selection activeCell="F7" sqref="F7:F43"/>
    </sheetView>
  </sheetViews>
  <sheetFormatPr defaultColWidth="8.875" defaultRowHeight="13.5" x14ac:dyDescent="0.15"/>
  <cols>
    <col min="1" max="1" width="3.125" customWidth="1"/>
    <col min="3" max="4" width="10" customWidth="1"/>
    <col min="5" max="6" width="15.875" customWidth="1"/>
    <col min="7" max="7" width="17.5" customWidth="1"/>
    <col min="17" max="17" width="5" customWidth="1"/>
    <col min="18" max="18" width="3.375" customWidth="1"/>
    <col min="26" max="26" width="8.875" customWidth="1"/>
  </cols>
  <sheetData>
    <row r="1" spans="2:26" ht="27.75" customHeight="1" x14ac:dyDescent="0.15">
      <c r="B1" s="19" t="s">
        <v>11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2:26" ht="13.5" customHeight="1" x14ac:dyDescent="0.15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2:26" ht="13.5" customHeight="1" x14ac:dyDescent="0.15"/>
    <row r="4" spans="2:26" x14ac:dyDescent="0.15">
      <c r="B4" t="s">
        <v>10</v>
      </c>
      <c r="E4" s="9"/>
    </row>
    <row r="5" spans="2:26" ht="14.25" thickBot="1" x14ac:dyDescent="0.2">
      <c r="B5" s="25" t="s">
        <v>9</v>
      </c>
      <c r="C5" s="25"/>
      <c r="D5" s="25"/>
      <c r="E5" s="25"/>
      <c r="F5" s="25"/>
      <c r="G5" s="23"/>
    </row>
    <row r="6" spans="2:26" ht="28.5" customHeight="1" x14ac:dyDescent="0.15">
      <c r="B6" s="1" t="s">
        <v>0</v>
      </c>
      <c r="C6" s="4" t="s">
        <v>3</v>
      </c>
      <c r="D6" s="4" t="s">
        <v>4</v>
      </c>
      <c r="E6" s="4" t="s">
        <v>2</v>
      </c>
      <c r="F6" s="21" t="s">
        <v>14</v>
      </c>
      <c r="G6" s="2" t="s">
        <v>15</v>
      </c>
      <c r="S6" s="12" t="s">
        <v>1</v>
      </c>
      <c r="T6" s="13"/>
      <c r="U6" s="13"/>
      <c r="V6" s="13"/>
      <c r="W6" s="13"/>
      <c r="X6" s="13"/>
      <c r="Y6" s="13"/>
      <c r="Z6" s="14"/>
    </row>
    <row r="7" spans="2:26" ht="15" customHeight="1" thickBot="1" x14ac:dyDescent="0.2">
      <c r="B7" s="5">
        <v>0</v>
      </c>
      <c r="C7" s="6">
        <v>3.5</v>
      </c>
      <c r="D7" s="6">
        <f>C7-2</f>
        <v>1.5</v>
      </c>
      <c r="E7" s="7">
        <f>D7/59</f>
        <v>2.5423728813559324E-2</v>
      </c>
      <c r="F7" s="22">
        <f>COS(PI()/180*B7)^2*COS(PI()/2-PI()/180*B7)^2/0.25</f>
        <v>1.5009887365649789E-32</v>
      </c>
      <c r="G7" s="8">
        <f>F7/0.25</f>
        <v>6.0039549462599157E-32</v>
      </c>
      <c r="S7" s="15"/>
      <c r="T7" s="16"/>
      <c r="U7" s="16"/>
      <c r="V7" s="16"/>
      <c r="W7" s="16"/>
      <c r="X7" s="16"/>
      <c r="Y7" s="16"/>
      <c r="Z7" s="17"/>
    </row>
    <row r="8" spans="2:26" ht="13.5" customHeight="1" x14ac:dyDescent="0.15">
      <c r="B8" s="5">
        <v>5</v>
      </c>
      <c r="C8" s="10"/>
      <c r="D8" s="10"/>
      <c r="E8" s="11"/>
      <c r="F8" s="22">
        <f t="shared" ref="F8:F43" si="0">COS(PI()/180*B8)^2*COS(PI()/2-PI()/180*B8)^2/0.25</f>
        <v>3.0153689607045783E-2</v>
      </c>
      <c r="G8" s="8">
        <f t="shared" ref="G8:G43" si="1">F8/0.25</f>
        <v>0.12061475842818313</v>
      </c>
      <c r="S8" s="26" t="s">
        <v>6</v>
      </c>
      <c r="T8" s="27"/>
      <c r="U8" s="27"/>
      <c r="V8" s="27"/>
      <c r="W8" s="27"/>
      <c r="X8" s="27"/>
      <c r="Y8" s="27"/>
      <c r="Z8" s="27"/>
    </row>
    <row r="9" spans="2:26" ht="13.5" customHeight="1" x14ac:dyDescent="0.15">
      <c r="B9" s="5">
        <v>10</v>
      </c>
      <c r="C9" s="6">
        <v>18</v>
      </c>
      <c r="D9" s="6">
        <f>C9-2</f>
        <v>16</v>
      </c>
      <c r="E9" s="7">
        <f>D9/59</f>
        <v>0.2711864406779661</v>
      </c>
      <c r="F9" s="22">
        <f t="shared" si="0"/>
        <v>0.11697777844051106</v>
      </c>
      <c r="G9" s="8">
        <f t="shared" si="1"/>
        <v>0.46791111376204425</v>
      </c>
      <c r="S9" s="28"/>
      <c r="T9" s="28"/>
      <c r="U9" s="28"/>
      <c r="V9" s="28"/>
      <c r="W9" s="28"/>
      <c r="X9" s="28"/>
      <c r="Y9" s="28"/>
      <c r="Z9" s="28"/>
    </row>
    <row r="10" spans="2:26" ht="13.5" customHeight="1" x14ac:dyDescent="0.15">
      <c r="B10" s="5">
        <v>15</v>
      </c>
      <c r="C10" s="10"/>
      <c r="D10" s="10"/>
      <c r="E10" s="11"/>
      <c r="F10" s="22">
        <f t="shared" si="0"/>
        <v>0.24999999999999997</v>
      </c>
      <c r="G10" s="8">
        <f t="shared" si="1"/>
        <v>0.99999999999999989</v>
      </c>
      <c r="S10" s="28"/>
      <c r="T10" s="28"/>
      <c r="U10" s="28"/>
      <c r="V10" s="28"/>
      <c r="W10" s="28"/>
      <c r="X10" s="28"/>
      <c r="Y10" s="28"/>
      <c r="Z10" s="28"/>
    </row>
    <row r="11" spans="2:26" ht="13.5" customHeight="1" x14ac:dyDescent="0.15">
      <c r="B11" s="5">
        <v>20</v>
      </c>
      <c r="C11" s="6">
        <v>24</v>
      </c>
      <c r="D11" s="6">
        <f>C11-2</f>
        <v>22</v>
      </c>
      <c r="E11" s="7">
        <f>D11/59</f>
        <v>0.3728813559322034</v>
      </c>
      <c r="F11" s="22">
        <f t="shared" si="0"/>
        <v>0.41317591116653507</v>
      </c>
      <c r="G11" s="8">
        <f t="shared" si="1"/>
        <v>1.6527036446661403</v>
      </c>
      <c r="S11" s="28"/>
      <c r="T11" s="28"/>
      <c r="U11" s="28"/>
      <c r="V11" s="28"/>
      <c r="W11" s="28"/>
      <c r="X11" s="28"/>
      <c r="Y11" s="28"/>
      <c r="Z11" s="28"/>
    </row>
    <row r="12" spans="2:26" ht="13.5" customHeight="1" x14ac:dyDescent="0.15">
      <c r="B12" s="5">
        <v>25</v>
      </c>
      <c r="C12" s="10"/>
      <c r="D12" s="10"/>
      <c r="E12" s="11"/>
      <c r="F12" s="22">
        <f t="shared" si="0"/>
        <v>0.58682408883346515</v>
      </c>
      <c r="G12" s="8">
        <f t="shared" si="1"/>
        <v>2.3472963553338606</v>
      </c>
      <c r="S12" s="28"/>
      <c r="T12" s="28"/>
      <c r="U12" s="28"/>
      <c r="V12" s="28"/>
      <c r="W12" s="28"/>
      <c r="X12" s="28"/>
      <c r="Y12" s="28"/>
      <c r="Z12" s="28"/>
    </row>
    <row r="13" spans="2:26" ht="13.5" customHeight="1" x14ac:dyDescent="0.15">
      <c r="B13" s="5">
        <v>30</v>
      </c>
      <c r="C13" s="6">
        <v>43.5</v>
      </c>
      <c r="D13" s="6">
        <f>C13-2</f>
        <v>41.5</v>
      </c>
      <c r="E13" s="7">
        <f>D13/59</f>
        <v>0.70338983050847459</v>
      </c>
      <c r="F13" s="22">
        <f t="shared" si="0"/>
        <v>0.74999999999999978</v>
      </c>
      <c r="G13" s="8">
        <f t="shared" si="1"/>
        <v>2.9999999999999991</v>
      </c>
      <c r="S13" s="28"/>
      <c r="T13" s="28"/>
      <c r="U13" s="28"/>
      <c r="V13" s="28"/>
      <c r="W13" s="28"/>
      <c r="X13" s="28"/>
      <c r="Y13" s="28"/>
      <c r="Z13" s="28"/>
    </row>
    <row r="14" spans="2:26" ht="13.5" customHeight="1" x14ac:dyDescent="0.15">
      <c r="B14" s="5">
        <v>35</v>
      </c>
      <c r="C14" s="10"/>
      <c r="D14" s="10"/>
      <c r="E14" s="11"/>
      <c r="F14" s="22">
        <f t="shared" si="0"/>
        <v>0.88302222155948917</v>
      </c>
      <c r="G14" s="8">
        <f t="shared" si="1"/>
        <v>3.5320888862379567</v>
      </c>
      <c r="S14" s="28"/>
      <c r="T14" s="28"/>
      <c r="U14" s="28"/>
      <c r="V14" s="28"/>
      <c r="W14" s="28"/>
      <c r="X14" s="28"/>
      <c r="Y14" s="28"/>
      <c r="Z14" s="28"/>
    </row>
    <row r="15" spans="2:26" ht="14.25" customHeight="1" x14ac:dyDescent="0.15">
      <c r="B15" s="5">
        <v>40</v>
      </c>
      <c r="C15" s="6">
        <v>56.5</v>
      </c>
      <c r="D15" s="6">
        <f>C15-2</f>
        <v>54.5</v>
      </c>
      <c r="E15" s="7">
        <f>D15/59</f>
        <v>0.92372881355932202</v>
      </c>
      <c r="F15" s="22">
        <f t="shared" si="0"/>
        <v>0.96984631039295421</v>
      </c>
      <c r="G15" s="8">
        <f t="shared" si="1"/>
        <v>3.8793852415718169</v>
      </c>
      <c r="S15" s="28"/>
      <c r="T15" s="28"/>
      <c r="U15" s="28"/>
      <c r="V15" s="28"/>
      <c r="W15" s="28"/>
      <c r="X15" s="28"/>
      <c r="Y15" s="28"/>
      <c r="Z15" s="28"/>
    </row>
    <row r="16" spans="2:26" ht="13.5" customHeight="1" x14ac:dyDescent="0.15">
      <c r="B16" s="5">
        <v>45</v>
      </c>
      <c r="C16" s="6">
        <v>59</v>
      </c>
      <c r="D16" s="6">
        <f>C16-2</f>
        <v>57</v>
      </c>
      <c r="E16" s="7">
        <f>D16/59</f>
        <v>0.96610169491525422</v>
      </c>
      <c r="F16" s="22">
        <f t="shared" si="0"/>
        <v>1.0000000000000004</v>
      </c>
      <c r="G16" s="8">
        <f t="shared" si="1"/>
        <v>4.0000000000000018</v>
      </c>
      <c r="S16" s="28"/>
      <c r="T16" s="28"/>
      <c r="U16" s="28"/>
      <c r="V16" s="28"/>
      <c r="W16" s="28"/>
      <c r="X16" s="28"/>
      <c r="Y16" s="28"/>
      <c r="Z16" s="28"/>
    </row>
    <row r="17" spans="2:26" ht="13.5" customHeight="1" x14ac:dyDescent="0.15">
      <c r="B17" s="5">
        <v>50</v>
      </c>
      <c r="C17" s="6">
        <v>58</v>
      </c>
      <c r="D17" s="6">
        <f>C17-2</f>
        <v>56</v>
      </c>
      <c r="E17" s="7">
        <f>D17/59</f>
        <v>0.94915254237288138</v>
      </c>
      <c r="F17" s="22">
        <f t="shared" si="0"/>
        <v>0.96984631039295421</v>
      </c>
      <c r="G17" s="8">
        <f t="shared" si="1"/>
        <v>3.8793852415718169</v>
      </c>
      <c r="S17" s="28"/>
      <c r="T17" s="28"/>
      <c r="U17" s="28"/>
      <c r="V17" s="28"/>
      <c r="W17" s="28"/>
      <c r="X17" s="28"/>
      <c r="Y17" s="28"/>
      <c r="Z17" s="28"/>
    </row>
    <row r="18" spans="2:26" ht="13.5" customHeight="1" x14ac:dyDescent="0.15">
      <c r="B18" s="5">
        <v>55</v>
      </c>
      <c r="C18" s="10"/>
      <c r="D18" s="10"/>
      <c r="E18" s="11"/>
      <c r="F18" s="22">
        <f t="shared" si="0"/>
        <v>0.88302222155948917</v>
      </c>
      <c r="G18" s="8">
        <f t="shared" si="1"/>
        <v>3.5320888862379567</v>
      </c>
      <c r="S18" s="28"/>
      <c r="T18" s="28"/>
      <c r="U18" s="28"/>
      <c r="V18" s="28"/>
      <c r="W18" s="28"/>
      <c r="X18" s="28"/>
      <c r="Y18" s="28"/>
      <c r="Z18" s="28"/>
    </row>
    <row r="19" spans="2:26" ht="13.5" customHeight="1" x14ac:dyDescent="0.15">
      <c r="B19" s="5">
        <v>60</v>
      </c>
      <c r="C19" s="6">
        <v>46.5</v>
      </c>
      <c r="D19" s="6">
        <f>C19-2</f>
        <v>44.5</v>
      </c>
      <c r="E19" s="7">
        <f>D19/59</f>
        <v>0.75423728813559321</v>
      </c>
      <c r="F19" s="22">
        <f t="shared" si="0"/>
        <v>0.75000000000000022</v>
      </c>
      <c r="G19" s="8">
        <f t="shared" si="1"/>
        <v>3.0000000000000009</v>
      </c>
      <c r="S19" s="28"/>
      <c r="T19" s="28"/>
      <c r="U19" s="28"/>
      <c r="V19" s="28"/>
      <c r="W19" s="28"/>
      <c r="X19" s="28"/>
      <c r="Y19" s="28"/>
      <c r="Z19" s="28"/>
    </row>
    <row r="20" spans="2:26" ht="13.5" customHeight="1" x14ac:dyDescent="0.15">
      <c r="B20" s="5">
        <v>65</v>
      </c>
      <c r="C20" s="10"/>
      <c r="D20" s="10"/>
      <c r="E20" s="11"/>
      <c r="F20" s="22">
        <f t="shared" si="0"/>
        <v>0.58682408883346515</v>
      </c>
      <c r="G20" s="8">
        <f t="shared" si="1"/>
        <v>2.3472963553338606</v>
      </c>
      <c r="S20" s="28"/>
      <c r="T20" s="28"/>
      <c r="U20" s="28"/>
      <c r="V20" s="28"/>
      <c r="W20" s="28"/>
      <c r="X20" s="28"/>
      <c r="Y20" s="28"/>
      <c r="Z20" s="28"/>
    </row>
    <row r="21" spans="2:26" ht="13.5" customHeight="1" x14ac:dyDescent="0.15">
      <c r="B21" s="5">
        <v>70</v>
      </c>
      <c r="C21" s="6">
        <v>26.5</v>
      </c>
      <c r="D21" s="6">
        <f>C21-2</f>
        <v>24.5</v>
      </c>
      <c r="E21" s="7">
        <f>D21/59</f>
        <v>0.4152542372881356</v>
      </c>
      <c r="F21" s="22">
        <f t="shared" si="0"/>
        <v>0.41317591116653496</v>
      </c>
      <c r="G21" s="8">
        <f t="shared" si="1"/>
        <v>1.6527036446661398</v>
      </c>
      <c r="S21" s="28"/>
      <c r="T21" s="28"/>
      <c r="U21" s="28"/>
      <c r="V21" s="28"/>
      <c r="W21" s="28"/>
      <c r="X21" s="28"/>
      <c r="Y21" s="28"/>
      <c r="Z21" s="28"/>
    </row>
    <row r="22" spans="2:26" ht="13.5" customHeight="1" x14ac:dyDescent="0.15">
      <c r="B22" s="5">
        <v>75</v>
      </c>
      <c r="C22" s="10"/>
      <c r="D22" s="10"/>
      <c r="E22" s="11"/>
      <c r="F22" s="22">
        <f t="shared" si="0"/>
        <v>0.24999999999999997</v>
      </c>
      <c r="G22" s="8">
        <f t="shared" si="1"/>
        <v>0.99999999999999989</v>
      </c>
      <c r="S22" s="28"/>
      <c r="T22" s="28"/>
      <c r="U22" s="28"/>
      <c r="V22" s="28"/>
      <c r="W22" s="28"/>
      <c r="X22" s="28"/>
      <c r="Y22" s="28"/>
      <c r="Z22" s="28"/>
    </row>
    <row r="23" spans="2:26" ht="13.5" customHeight="1" x14ac:dyDescent="0.15">
      <c r="B23" s="5">
        <v>80</v>
      </c>
      <c r="C23" s="6">
        <v>10</v>
      </c>
      <c r="D23" s="6">
        <f>C23-2</f>
        <v>8</v>
      </c>
      <c r="E23" s="7">
        <f>D23/59</f>
        <v>0.13559322033898305</v>
      </c>
      <c r="F23" s="22">
        <f t="shared" si="0"/>
        <v>0.11697777844051106</v>
      </c>
      <c r="G23" s="8">
        <f t="shared" si="1"/>
        <v>0.46791111376204425</v>
      </c>
      <c r="S23" s="28"/>
      <c r="T23" s="28"/>
      <c r="U23" s="28"/>
      <c r="V23" s="28"/>
      <c r="W23" s="28"/>
      <c r="X23" s="28"/>
      <c r="Y23" s="28"/>
      <c r="Z23" s="28"/>
    </row>
    <row r="24" spans="2:26" ht="13.5" customHeight="1" x14ac:dyDescent="0.15">
      <c r="B24" s="5">
        <v>85</v>
      </c>
      <c r="C24" s="6">
        <v>4.5</v>
      </c>
      <c r="D24" s="6">
        <f>C24-2</f>
        <v>2.5</v>
      </c>
      <c r="E24" s="7">
        <f>D24/59</f>
        <v>4.2372881355932202E-2</v>
      </c>
      <c r="F24" s="22">
        <f t="shared" si="0"/>
        <v>3.0153689607045783E-2</v>
      </c>
      <c r="G24" s="8">
        <f t="shared" si="1"/>
        <v>0.12061475842818313</v>
      </c>
      <c r="S24" s="28"/>
      <c r="T24" s="28"/>
      <c r="U24" s="28"/>
      <c r="V24" s="28"/>
      <c r="W24" s="28"/>
      <c r="X24" s="28"/>
      <c r="Y24" s="28"/>
      <c r="Z24" s="28"/>
    </row>
    <row r="25" spans="2:26" ht="13.5" customHeight="1" x14ac:dyDescent="0.15">
      <c r="B25" s="5">
        <v>90</v>
      </c>
      <c r="C25" s="6">
        <v>2</v>
      </c>
      <c r="D25" s="6">
        <f>C25-2</f>
        <v>0</v>
      </c>
      <c r="E25" s="7">
        <f>D25/59</f>
        <v>0</v>
      </c>
      <c r="F25" s="22">
        <f t="shared" si="0"/>
        <v>1.5009887365649789E-32</v>
      </c>
      <c r="G25" s="8">
        <f t="shared" si="1"/>
        <v>6.0039549462599157E-32</v>
      </c>
      <c r="S25" s="28"/>
      <c r="T25" s="28"/>
      <c r="U25" s="28"/>
      <c r="V25" s="28"/>
      <c r="W25" s="28"/>
      <c r="X25" s="28"/>
      <c r="Y25" s="28"/>
      <c r="Z25" s="28"/>
    </row>
    <row r="26" spans="2:26" ht="14.25" customHeight="1" x14ac:dyDescent="0.15">
      <c r="B26" s="5">
        <v>95</v>
      </c>
      <c r="C26" s="20">
        <v>4</v>
      </c>
      <c r="D26" s="6">
        <f>C26-2</f>
        <v>2</v>
      </c>
      <c r="E26" s="7">
        <f>D26/59</f>
        <v>3.3898305084745763E-2</v>
      </c>
      <c r="F26" s="22">
        <f t="shared" si="0"/>
        <v>3.0153689607045852E-2</v>
      </c>
      <c r="G26" s="8">
        <f t="shared" si="1"/>
        <v>0.12061475842818341</v>
      </c>
      <c r="S26" s="28"/>
      <c r="T26" s="28"/>
      <c r="U26" s="28"/>
      <c r="V26" s="28"/>
      <c r="W26" s="28"/>
      <c r="X26" s="28"/>
      <c r="Y26" s="28"/>
      <c r="Z26" s="28"/>
    </row>
    <row r="27" spans="2:26" ht="14.1" customHeight="1" x14ac:dyDescent="0.15">
      <c r="B27" s="5">
        <v>100</v>
      </c>
      <c r="C27" s="6">
        <v>8</v>
      </c>
      <c r="D27" s="6">
        <f>C27-2</f>
        <v>6</v>
      </c>
      <c r="E27" s="7">
        <f>D27/59</f>
        <v>0.10169491525423729</v>
      </c>
      <c r="F27" s="22">
        <f t="shared" si="0"/>
        <v>0.11697777844051091</v>
      </c>
      <c r="G27" s="8">
        <f t="shared" si="1"/>
        <v>0.46791111376204364</v>
      </c>
      <c r="S27" s="28"/>
      <c r="T27" s="28"/>
      <c r="U27" s="28"/>
      <c r="V27" s="28"/>
      <c r="W27" s="28"/>
      <c r="X27" s="28"/>
      <c r="Y27" s="28"/>
      <c r="Z27" s="28"/>
    </row>
    <row r="28" spans="2:26" ht="14.1" customHeight="1" x14ac:dyDescent="0.15">
      <c r="B28" s="5">
        <v>105</v>
      </c>
      <c r="C28" s="10"/>
      <c r="D28" s="10"/>
      <c r="E28" s="11"/>
      <c r="F28" s="22">
        <f t="shared" si="0"/>
        <v>0.25000000000000011</v>
      </c>
      <c r="G28" s="8">
        <f t="shared" si="1"/>
        <v>1.0000000000000004</v>
      </c>
      <c r="S28" s="28"/>
      <c r="T28" s="28"/>
      <c r="U28" s="28"/>
      <c r="V28" s="28"/>
      <c r="W28" s="28"/>
      <c r="X28" s="28"/>
      <c r="Y28" s="28"/>
      <c r="Z28" s="28"/>
    </row>
    <row r="29" spans="2:26" ht="14.1" customHeight="1" x14ac:dyDescent="0.15">
      <c r="B29" s="5">
        <v>110</v>
      </c>
      <c r="C29" s="6">
        <v>24</v>
      </c>
      <c r="D29" s="6">
        <f>C29-2</f>
        <v>22</v>
      </c>
      <c r="E29" s="7">
        <f>D29/59</f>
        <v>0.3728813559322034</v>
      </c>
      <c r="F29" s="22">
        <f t="shared" si="0"/>
        <v>0.41317591116653468</v>
      </c>
      <c r="G29" s="8">
        <f t="shared" si="1"/>
        <v>1.6527036446661387</v>
      </c>
      <c r="S29" s="28"/>
      <c r="T29" s="28"/>
      <c r="U29" s="28"/>
      <c r="V29" s="28"/>
      <c r="W29" s="28"/>
      <c r="X29" s="28"/>
      <c r="Y29" s="28"/>
      <c r="Z29" s="28"/>
    </row>
    <row r="30" spans="2:26" ht="14.1" customHeight="1" x14ac:dyDescent="0.15">
      <c r="B30" s="5">
        <v>115</v>
      </c>
      <c r="C30" s="10"/>
      <c r="D30" s="10"/>
      <c r="E30" s="11"/>
      <c r="F30" s="22">
        <f t="shared" si="0"/>
        <v>0.58682408883346482</v>
      </c>
      <c r="G30" s="8">
        <f t="shared" si="1"/>
        <v>2.3472963553338593</v>
      </c>
      <c r="S30" s="28"/>
      <c r="T30" s="28"/>
      <c r="U30" s="28"/>
      <c r="V30" s="28"/>
      <c r="W30" s="28"/>
      <c r="X30" s="28"/>
      <c r="Y30" s="28"/>
      <c r="Z30" s="28"/>
    </row>
    <row r="31" spans="2:26" ht="14.1" customHeight="1" x14ac:dyDescent="0.15">
      <c r="B31" s="5">
        <v>120</v>
      </c>
      <c r="C31" s="6">
        <v>42.5</v>
      </c>
      <c r="D31" s="6">
        <f>C31-2</f>
        <v>40.5</v>
      </c>
      <c r="E31" s="7">
        <f>D31/59</f>
        <v>0.68644067796610164</v>
      </c>
      <c r="F31" s="22">
        <f t="shared" si="0"/>
        <v>0.74999999999999944</v>
      </c>
      <c r="G31" s="8">
        <f t="shared" si="1"/>
        <v>2.9999999999999978</v>
      </c>
      <c r="S31" s="28"/>
      <c r="T31" s="28"/>
      <c r="U31" s="28"/>
      <c r="V31" s="28"/>
      <c r="W31" s="28"/>
      <c r="X31" s="28"/>
      <c r="Y31" s="28"/>
      <c r="Z31" s="28"/>
    </row>
    <row r="32" spans="2:26" ht="14.1" customHeight="1" x14ac:dyDescent="0.15">
      <c r="B32" s="5">
        <v>125</v>
      </c>
      <c r="C32" s="10"/>
      <c r="D32" s="10"/>
      <c r="E32" s="11"/>
      <c r="F32" s="22">
        <f t="shared" si="0"/>
        <v>0.88302222155948906</v>
      </c>
      <c r="G32" s="8">
        <f t="shared" si="1"/>
        <v>3.5320888862379562</v>
      </c>
      <c r="S32" s="28"/>
      <c r="T32" s="28"/>
      <c r="U32" s="28"/>
      <c r="V32" s="28"/>
      <c r="W32" s="28"/>
      <c r="X32" s="28"/>
      <c r="Y32" s="28"/>
      <c r="Z32" s="28"/>
    </row>
    <row r="33" spans="2:26" ht="14.1" customHeight="1" x14ac:dyDescent="0.15">
      <c r="B33" s="5">
        <v>130</v>
      </c>
      <c r="C33" s="6">
        <v>60</v>
      </c>
      <c r="D33" s="6">
        <f>C33-2</f>
        <v>58</v>
      </c>
      <c r="E33" s="7">
        <f>D33/59</f>
        <v>0.98305084745762716</v>
      </c>
      <c r="F33" s="22">
        <f t="shared" si="0"/>
        <v>0.96984631039295421</v>
      </c>
      <c r="G33" s="8">
        <f t="shared" si="1"/>
        <v>3.8793852415718169</v>
      </c>
      <c r="S33" s="28"/>
      <c r="T33" s="28"/>
      <c r="U33" s="28"/>
      <c r="V33" s="28"/>
      <c r="W33" s="28"/>
      <c r="X33" s="28"/>
      <c r="Y33" s="28"/>
      <c r="Z33" s="28"/>
    </row>
    <row r="34" spans="2:26" x14ac:dyDescent="0.15">
      <c r="B34" s="5">
        <v>135</v>
      </c>
      <c r="C34" s="20">
        <v>61</v>
      </c>
      <c r="D34" s="6">
        <f>C34-2</f>
        <v>59</v>
      </c>
      <c r="E34" s="7">
        <f>D34/59</f>
        <v>1</v>
      </c>
      <c r="F34" s="22">
        <f t="shared" si="0"/>
        <v>1</v>
      </c>
      <c r="G34" s="8">
        <f t="shared" si="1"/>
        <v>4</v>
      </c>
    </row>
    <row r="35" spans="2:26" x14ac:dyDescent="0.15">
      <c r="B35" s="5">
        <v>140</v>
      </c>
      <c r="C35" s="6">
        <v>60</v>
      </c>
      <c r="D35" s="6">
        <f>C35-2</f>
        <v>58</v>
      </c>
      <c r="E35" s="7">
        <f>D35/59</f>
        <v>0.98305084745762716</v>
      </c>
      <c r="F35" s="22">
        <f t="shared" si="0"/>
        <v>0.96984631039295421</v>
      </c>
      <c r="G35" s="8">
        <f t="shared" si="1"/>
        <v>3.8793852415718169</v>
      </c>
    </row>
    <row r="36" spans="2:26" x14ac:dyDescent="0.15">
      <c r="B36" s="5">
        <v>145</v>
      </c>
      <c r="C36" s="10"/>
      <c r="D36" s="10"/>
      <c r="E36" s="11"/>
      <c r="F36" s="22">
        <f t="shared" si="0"/>
        <v>0.88302222155948873</v>
      </c>
      <c r="G36" s="8">
        <f t="shared" si="1"/>
        <v>3.5320888862379549</v>
      </c>
    </row>
    <row r="37" spans="2:26" x14ac:dyDescent="0.15">
      <c r="B37" s="5">
        <v>150</v>
      </c>
      <c r="C37" s="6">
        <v>47</v>
      </c>
      <c r="D37" s="6">
        <f>C37-2</f>
        <v>45</v>
      </c>
      <c r="E37" s="7">
        <f>D37/59</f>
        <v>0.76271186440677963</v>
      </c>
      <c r="F37" s="22">
        <f t="shared" si="0"/>
        <v>0.74999999999999978</v>
      </c>
      <c r="G37" s="8">
        <f t="shared" si="1"/>
        <v>2.9999999999999991</v>
      </c>
    </row>
    <row r="38" spans="2:26" x14ac:dyDescent="0.15">
      <c r="B38" s="5">
        <v>155</v>
      </c>
      <c r="C38" s="10"/>
      <c r="D38" s="10"/>
      <c r="E38" s="11"/>
      <c r="F38" s="22">
        <f t="shared" si="0"/>
        <v>0.58682408883346515</v>
      </c>
      <c r="G38" s="8">
        <f t="shared" si="1"/>
        <v>2.3472963553338606</v>
      </c>
    </row>
    <row r="39" spans="2:26" x14ac:dyDescent="0.15">
      <c r="B39" s="5">
        <v>160</v>
      </c>
      <c r="C39" s="6">
        <v>39</v>
      </c>
      <c r="D39" s="6">
        <f>C39-2</f>
        <v>37</v>
      </c>
      <c r="E39" s="7">
        <f>D39/59</f>
        <v>0.6271186440677966</v>
      </c>
      <c r="F39" s="22">
        <f t="shared" si="0"/>
        <v>0.41317591116653496</v>
      </c>
      <c r="G39" s="8">
        <f t="shared" si="1"/>
        <v>1.6527036446661398</v>
      </c>
    </row>
    <row r="40" spans="2:26" x14ac:dyDescent="0.15">
      <c r="B40" s="5">
        <v>165</v>
      </c>
      <c r="C40" s="10"/>
      <c r="D40" s="10"/>
      <c r="E40" s="11"/>
      <c r="F40" s="22">
        <f t="shared" si="0"/>
        <v>0.25000000000000039</v>
      </c>
      <c r="G40" s="8">
        <f t="shared" si="1"/>
        <v>1.0000000000000016</v>
      </c>
    </row>
    <row r="41" spans="2:26" x14ac:dyDescent="0.15">
      <c r="B41" s="5">
        <v>170</v>
      </c>
      <c r="C41" s="6">
        <v>10.5</v>
      </c>
      <c r="D41" s="6">
        <f>C41-2</f>
        <v>8.5</v>
      </c>
      <c r="E41" s="7">
        <f>D41/59</f>
        <v>0.1440677966101695</v>
      </c>
      <c r="F41" s="22">
        <f t="shared" si="0"/>
        <v>0.1169777784405108</v>
      </c>
      <c r="G41" s="8">
        <f t="shared" si="1"/>
        <v>0.4679111137620432</v>
      </c>
    </row>
    <row r="42" spans="2:26" x14ac:dyDescent="0.15">
      <c r="B42" s="5">
        <v>175</v>
      </c>
      <c r="C42" s="10"/>
      <c r="D42" s="10"/>
      <c r="E42" s="11"/>
      <c r="F42" s="22">
        <f t="shared" si="0"/>
        <v>3.0153689607045783E-2</v>
      </c>
      <c r="G42" s="8">
        <f t="shared" si="1"/>
        <v>0.12061475842818313</v>
      </c>
    </row>
    <row r="43" spans="2:26" x14ac:dyDescent="0.15">
      <c r="B43" s="5">
        <v>180</v>
      </c>
      <c r="C43" s="6">
        <v>3</v>
      </c>
      <c r="D43" s="6">
        <f>C43-2</f>
        <v>1</v>
      </c>
      <c r="E43" s="7">
        <f>D43/59</f>
        <v>1.6949152542372881E-2</v>
      </c>
      <c r="F43" s="22">
        <f t="shared" si="0"/>
        <v>1.5009887365649789E-32</v>
      </c>
      <c r="G43" s="8">
        <f t="shared" si="1"/>
        <v>6.0039549462599157E-32</v>
      </c>
    </row>
    <row r="44" spans="2:26" x14ac:dyDescent="0.15">
      <c r="F44" s="18" t="s">
        <v>7</v>
      </c>
      <c r="G44" s="18"/>
    </row>
    <row r="46" spans="2:26" x14ac:dyDescent="0.15">
      <c r="F46" s="24">
        <f>MAX(F7:F43)</f>
        <v>1.0000000000000004</v>
      </c>
    </row>
  </sheetData>
  <mergeCells count="2">
    <mergeCell ref="B5:F5"/>
    <mergeCell ref="S8:Z33"/>
  </mergeCells>
  <phoneticPr fontId="4"/>
  <pageMargins left="0.78740157480314965" right="0" top="0" bottom="0" header="0.31496062992125984" footer="0.31496062992125984"/>
  <pageSetup paperSize="9" scale="56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Z47"/>
  <sheetViews>
    <sheetView zoomScale="50" zoomScaleNormal="50" zoomScaleSheetLayoutView="70" workbookViewId="0">
      <selection activeCell="I38" sqref="I38"/>
    </sheetView>
  </sheetViews>
  <sheetFormatPr defaultColWidth="8.875" defaultRowHeight="13.5" x14ac:dyDescent="0.15"/>
  <cols>
    <col min="1" max="1" width="3.125" customWidth="1"/>
    <col min="3" max="4" width="10" customWidth="1"/>
    <col min="5" max="6" width="15.875" customWidth="1"/>
    <col min="7" max="7" width="17.5" customWidth="1"/>
    <col min="17" max="17" width="5" customWidth="1"/>
    <col min="18" max="18" width="3.375" customWidth="1"/>
    <col min="26" max="26" width="8.875" customWidth="1"/>
  </cols>
  <sheetData>
    <row r="1" spans="2:26" ht="27.75" customHeight="1" x14ac:dyDescent="0.15">
      <c r="B1" s="19" t="s">
        <v>11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2:26" ht="13.5" customHeight="1" x14ac:dyDescent="0.15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2:26" ht="13.5" customHeight="1" x14ac:dyDescent="0.15"/>
    <row r="4" spans="2:26" x14ac:dyDescent="0.15">
      <c r="B4" t="s">
        <v>12</v>
      </c>
      <c r="E4" s="9"/>
    </row>
    <row r="5" spans="2:26" ht="14.25" thickBot="1" x14ac:dyDescent="0.2">
      <c r="B5" s="25" t="s">
        <v>13</v>
      </c>
      <c r="C5" s="25"/>
      <c r="D5" s="25"/>
      <c r="E5" s="25"/>
      <c r="F5" s="25"/>
      <c r="G5" s="23"/>
    </row>
    <row r="6" spans="2:26" ht="28.5" customHeight="1" x14ac:dyDescent="0.15">
      <c r="B6" s="1" t="s">
        <v>0</v>
      </c>
      <c r="C6" s="4" t="s">
        <v>3</v>
      </c>
      <c r="D6" s="4" t="s">
        <v>4</v>
      </c>
      <c r="E6" s="4" t="s">
        <v>2</v>
      </c>
      <c r="F6" s="21" t="s">
        <v>14</v>
      </c>
      <c r="G6" s="2" t="s">
        <v>15</v>
      </c>
      <c r="S6" s="12" t="s">
        <v>1</v>
      </c>
      <c r="T6" s="13"/>
      <c r="U6" s="13"/>
      <c r="V6" s="13"/>
      <c r="W6" s="13"/>
      <c r="X6" s="13"/>
      <c r="Y6" s="13"/>
      <c r="Z6" s="14"/>
    </row>
    <row r="7" spans="2:26" ht="15" customHeight="1" thickBot="1" x14ac:dyDescent="0.2">
      <c r="B7" s="5">
        <v>0</v>
      </c>
      <c r="C7" s="6">
        <f>D7+2</f>
        <v>2</v>
      </c>
      <c r="D7" s="6">
        <v>0</v>
      </c>
      <c r="E7" s="7">
        <f>D7/58</f>
        <v>0</v>
      </c>
      <c r="F7" s="22">
        <f>COS(PI()/180*B7-PI()/180*10)^2*COS(PI()/2-PI()/180*B7)^2/0.344</f>
        <v>1.0579421425137549E-32</v>
      </c>
      <c r="G7" s="8">
        <f>F7</f>
        <v>1.0579421425137549E-32</v>
      </c>
      <c r="S7" s="15"/>
      <c r="T7" s="16"/>
      <c r="U7" s="16"/>
      <c r="V7" s="16"/>
      <c r="W7" s="16"/>
      <c r="X7" s="16"/>
      <c r="Y7" s="16"/>
      <c r="Z7" s="17"/>
    </row>
    <row r="8" spans="2:26" ht="13.5" customHeight="1" x14ac:dyDescent="0.15">
      <c r="B8" s="5">
        <v>5</v>
      </c>
      <c r="C8" s="10"/>
      <c r="D8" s="10"/>
      <c r="E8" s="10"/>
      <c r="F8" s="22">
        <f t="shared" ref="F8:F43" si="0">COS(PI()/180*B8-PI()/180*10)^2*COS(PI()/2-PI()/180*B8)^2/0.344</f>
        <v>2.1914018609771647E-2</v>
      </c>
      <c r="G8" s="8">
        <f t="shared" ref="G8:G43" si="1">F8</f>
        <v>2.1914018609771647E-2</v>
      </c>
      <c r="S8" s="26" t="s">
        <v>6</v>
      </c>
      <c r="T8" s="27"/>
      <c r="U8" s="27"/>
      <c r="V8" s="27"/>
      <c r="W8" s="27"/>
      <c r="X8" s="27"/>
      <c r="Y8" s="27"/>
      <c r="Z8" s="27"/>
    </row>
    <row r="9" spans="2:26" ht="13.5" customHeight="1" x14ac:dyDescent="0.15">
      <c r="B9" s="5">
        <v>10</v>
      </c>
      <c r="C9" s="6">
        <f t="shared" ref="C9:C43" si="2">D9+2</f>
        <v>5.5</v>
      </c>
      <c r="D9" s="6">
        <v>3.5</v>
      </c>
      <c r="E9" s="7">
        <f t="shared" ref="E9:E43" si="3">D9/58</f>
        <v>6.0344827586206899E-2</v>
      </c>
      <c r="F9" s="22">
        <f t="shared" si="0"/>
        <v>8.7656074439086726E-2</v>
      </c>
      <c r="G9" s="8">
        <f t="shared" si="1"/>
        <v>8.7656074439086726E-2</v>
      </c>
      <c r="S9" s="28"/>
      <c r="T9" s="28"/>
      <c r="U9" s="28"/>
      <c r="V9" s="28"/>
      <c r="W9" s="28"/>
      <c r="X9" s="28"/>
      <c r="Y9" s="28"/>
      <c r="Z9" s="28"/>
    </row>
    <row r="10" spans="2:26" ht="13.5" customHeight="1" x14ac:dyDescent="0.15">
      <c r="B10" s="5">
        <v>15</v>
      </c>
      <c r="C10" s="10"/>
      <c r="D10" s="10"/>
      <c r="E10" s="10"/>
      <c r="F10" s="22">
        <f t="shared" si="0"/>
        <v>0.19325132069427775</v>
      </c>
      <c r="G10" s="8">
        <f t="shared" si="1"/>
        <v>0.19325132069427775</v>
      </c>
      <c r="S10" s="28"/>
      <c r="T10" s="28"/>
      <c r="U10" s="28"/>
      <c r="V10" s="28"/>
      <c r="W10" s="28"/>
      <c r="X10" s="28"/>
      <c r="Y10" s="28"/>
      <c r="Z10" s="28"/>
    </row>
    <row r="11" spans="2:26" ht="13.5" customHeight="1" x14ac:dyDescent="0.15">
      <c r="B11" s="5">
        <v>20</v>
      </c>
      <c r="C11" s="6">
        <f t="shared" si="2"/>
        <v>20</v>
      </c>
      <c r="D11" s="6">
        <v>18</v>
      </c>
      <c r="E11" s="7">
        <f t="shared" si="3"/>
        <v>0.31034482758620691</v>
      </c>
      <c r="F11" s="22">
        <f t="shared" si="0"/>
        <v>0.3297978686584131</v>
      </c>
      <c r="G11" s="8">
        <f t="shared" si="1"/>
        <v>0.3297978686584131</v>
      </c>
      <c r="S11" s="28"/>
      <c r="T11" s="28"/>
      <c r="U11" s="28"/>
      <c r="V11" s="28"/>
      <c r="W11" s="28"/>
      <c r="X11" s="28"/>
      <c r="Y11" s="28"/>
      <c r="Z11" s="28"/>
    </row>
    <row r="12" spans="2:26" ht="13.5" customHeight="1" x14ac:dyDescent="0.15">
      <c r="B12" s="5">
        <v>25</v>
      </c>
      <c r="C12" s="10"/>
      <c r="D12" s="10"/>
      <c r="E12" s="10"/>
      <c r="F12" s="22">
        <f t="shared" si="0"/>
        <v>0.48442397883101757</v>
      </c>
      <c r="G12" s="8">
        <f t="shared" si="1"/>
        <v>0.48442397883101757</v>
      </c>
      <c r="S12" s="28"/>
      <c r="T12" s="28"/>
      <c r="U12" s="28"/>
      <c r="V12" s="28"/>
      <c r="W12" s="28"/>
      <c r="X12" s="28"/>
      <c r="Y12" s="28"/>
      <c r="Z12" s="28"/>
    </row>
    <row r="13" spans="2:26" ht="13.5" customHeight="1" x14ac:dyDescent="0.15">
      <c r="B13" s="5">
        <v>30</v>
      </c>
      <c r="C13" s="6">
        <f t="shared" si="2"/>
        <v>38.5</v>
      </c>
      <c r="D13" s="6">
        <v>36.5</v>
      </c>
      <c r="E13" s="7">
        <f t="shared" si="3"/>
        <v>0.62931034482758619</v>
      </c>
      <c r="F13" s="22">
        <f t="shared" si="0"/>
        <v>0.64173126566823302</v>
      </c>
      <c r="G13" s="8">
        <f t="shared" si="1"/>
        <v>0.64173126566823302</v>
      </c>
      <c r="S13" s="28"/>
      <c r="T13" s="28"/>
      <c r="U13" s="28"/>
      <c r="V13" s="28"/>
      <c r="W13" s="28"/>
      <c r="X13" s="28"/>
      <c r="Y13" s="28"/>
      <c r="Z13" s="28"/>
    </row>
    <row r="14" spans="2:26" ht="13.5" customHeight="1" x14ac:dyDescent="0.15">
      <c r="B14" s="5">
        <v>35</v>
      </c>
      <c r="C14" s="10"/>
      <c r="D14" s="10"/>
      <c r="E14" s="10"/>
      <c r="F14" s="22">
        <f t="shared" si="0"/>
        <v>0.78555316567435807</v>
      </c>
      <c r="G14" s="8">
        <f t="shared" si="1"/>
        <v>0.78555316567435807</v>
      </c>
      <c r="S14" s="28"/>
      <c r="T14" s="28"/>
      <c r="U14" s="28"/>
      <c r="V14" s="28"/>
      <c r="W14" s="28"/>
      <c r="X14" s="28"/>
      <c r="Y14" s="28"/>
      <c r="Z14" s="28"/>
    </row>
    <row r="15" spans="2:26" ht="14.25" customHeight="1" x14ac:dyDescent="0.15">
      <c r="B15" s="5">
        <v>40</v>
      </c>
      <c r="C15" s="6">
        <f t="shared" si="2"/>
        <v>53</v>
      </c>
      <c r="D15" s="6">
        <v>51</v>
      </c>
      <c r="E15" s="7">
        <f t="shared" si="3"/>
        <v>0.87931034482758619</v>
      </c>
      <c r="F15" s="22">
        <f t="shared" si="0"/>
        <v>0.90081957376424759</v>
      </c>
      <c r="G15" s="8">
        <f t="shared" si="1"/>
        <v>0.90081957376424759</v>
      </c>
      <c r="S15" s="28"/>
      <c r="T15" s="28"/>
      <c r="U15" s="28"/>
      <c r="V15" s="28"/>
      <c r="W15" s="28"/>
      <c r="X15" s="28"/>
      <c r="Y15" s="28"/>
      <c r="Z15" s="28"/>
    </row>
    <row r="16" spans="2:26" ht="13.5" customHeight="1" x14ac:dyDescent="0.15">
      <c r="B16" s="5">
        <v>45</v>
      </c>
      <c r="C16" s="6">
        <f t="shared" si="2"/>
        <v>58</v>
      </c>
      <c r="D16" s="6">
        <v>56</v>
      </c>
      <c r="E16" s="7">
        <f t="shared" si="3"/>
        <v>0.96551724137931039</v>
      </c>
      <c r="F16" s="22">
        <f t="shared" si="0"/>
        <v>0.97530533671923614</v>
      </c>
      <c r="G16" s="8">
        <f t="shared" si="1"/>
        <v>0.97530533671923614</v>
      </c>
      <c r="S16" s="28"/>
      <c r="T16" s="28"/>
      <c r="U16" s="28"/>
      <c r="V16" s="28"/>
      <c r="W16" s="28"/>
      <c r="X16" s="28"/>
      <c r="Y16" s="28"/>
      <c r="Z16" s="28"/>
    </row>
    <row r="17" spans="2:26" ht="13.5" customHeight="1" x14ac:dyDescent="0.15">
      <c r="B17" s="5">
        <v>50</v>
      </c>
      <c r="C17" s="6">
        <f t="shared" si="2"/>
        <v>60</v>
      </c>
      <c r="D17" s="6">
        <v>58</v>
      </c>
      <c r="E17" s="7">
        <f t="shared" si="3"/>
        <v>1</v>
      </c>
      <c r="F17" s="22">
        <f t="shared" si="0"/>
        <v>1.0010538117303101</v>
      </c>
      <c r="G17" s="8">
        <f t="shared" si="1"/>
        <v>1.0010538117303101</v>
      </c>
      <c r="S17" s="28"/>
      <c r="T17" s="28"/>
      <c r="U17" s="28"/>
      <c r="V17" s="28"/>
      <c r="W17" s="28"/>
      <c r="X17" s="28"/>
      <c r="Y17" s="28"/>
      <c r="Z17" s="28"/>
    </row>
    <row r="18" spans="2:26" ht="13.5" customHeight="1" x14ac:dyDescent="0.15">
      <c r="B18" s="5">
        <v>55</v>
      </c>
      <c r="C18" s="10"/>
      <c r="D18" s="10"/>
      <c r="E18" s="10"/>
      <c r="F18" s="22">
        <f t="shared" si="0"/>
        <v>0.97530533671923614</v>
      </c>
      <c r="G18" s="8">
        <f t="shared" si="1"/>
        <v>0.97530533671923614</v>
      </c>
      <c r="S18" s="28"/>
      <c r="T18" s="28"/>
      <c r="U18" s="28"/>
      <c r="V18" s="28"/>
      <c r="W18" s="28"/>
      <c r="X18" s="28"/>
      <c r="Y18" s="28"/>
      <c r="Z18" s="28"/>
    </row>
    <row r="19" spans="2:26" ht="13.5" customHeight="1" x14ac:dyDescent="0.15">
      <c r="B19" s="5">
        <v>60</v>
      </c>
      <c r="C19" s="6">
        <f t="shared" si="2"/>
        <v>51.5</v>
      </c>
      <c r="D19" s="6">
        <v>49.5</v>
      </c>
      <c r="E19" s="7">
        <f t="shared" si="3"/>
        <v>0.85344827586206895</v>
      </c>
      <c r="F19" s="22">
        <f t="shared" si="0"/>
        <v>0.90081957376424782</v>
      </c>
      <c r="G19" s="8">
        <f t="shared" si="1"/>
        <v>0.90081957376424782</v>
      </c>
      <c r="S19" s="28"/>
      <c r="T19" s="28"/>
      <c r="U19" s="28"/>
      <c r="V19" s="28"/>
      <c r="W19" s="28"/>
      <c r="X19" s="28"/>
      <c r="Y19" s="28"/>
      <c r="Z19" s="28"/>
    </row>
    <row r="20" spans="2:26" ht="13.5" customHeight="1" x14ac:dyDescent="0.15">
      <c r="B20" s="5">
        <v>65</v>
      </c>
      <c r="C20" s="10"/>
      <c r="D20" s="10"/>
      <c r="E20" s="10"/>
      <c r="F20" s="22">
        <f t="shared" si="0"/>
        <v>0.78555316567435807</v>
      </c>
      <c r="G20" s="8">
        <f t="shared" si="1"/>
        <v>0.78555316567435807</v>
      </c>
      <c r="S20" s="28"/>
      <c r="T20" s="28"/>
      <c r="U20" s="28"/>
      <c r="V20" s="28"/>
      <c r="W20" s="28"/>
      <c r="X20" s="28"/>
      <c r="Y20" s="28"/>
      <c r="Z20" s="28"/>
    </row>
    <row r="21" spans="2:26" ht="13.5" customHeight="1" x14ac:dyDescent="0.15">
      <c r="B21" s="5">
        <v>70</v>
      </c>
      <c r="C21" s="6">
        <f t="shared" si="2"/>
        <v>38</v>
      </c>
      <c r="D21" s="6">
        <v>36</v>
      </c>
      <c r="E21" s="7">
        <f t="shared" si="3"/>
        <v>0.62068965517241381</v>
      </c>
      <c r="F21" s="22">
        <f t="shared" si="0"/>
        <v>0.64173126566823357</v>
      </c>
      <c r="G21" s="8">
        <f t="shared" si="1"/>
        <v>0.64173126566823357</v>
      </c>
      <c r="S21" s="28"/>
      <c r="T21" s="28"/>
      <c r="U21" s="28"/>
      <c r="V21" s="28"/>
      <c r="W21" s="28"/>
      <c r="X21" s="28"/>
      <c r="Y21" s="28"/>
      <c r="Z21" s="28"/>
    </row>
    <row r="22" spans="2:26" ht="13.5" customHeight="1" x14ac:dyDescent="0.15">
      <c r="B22" s="5">
        <v>75</v>
      </c>
      <c r="C22" s="10"/>
      <c r="D22" s="10"/>
      <c r="E22" s="10"/>
      <c r="F22" s="22">
        <f t="shared" si="0"/>
        <v>0.48442397883101757</v>
      </c>
      <c r="G22" s="8">
        <f t="shared" si="1"/>
        <v>0.48442397883101757</v>
      </c>
      <c r="S22" s="28"/>
      <c r="T22" s="28"/>
      <c r="U22" s="28"/>
      <c r="V22" s="28"/>
      <c r="W22" s="28"/>
      <c r="X22" s="28"/>
      <c r="Y22" s="28"/>
      <c r="Z22" s="28"/>
    </row>
    <row r="23" spans="2:26" ht="13.5" customHeight="1" x14ac:dyDescent="0.15">
      <c r="B23" s="5">
        <v>80</v>
      </c>
      <c r="C23" s="6">
        <f t="shared" si="2"/>
        <v>21.5</v>
      </c>
      <c r="D23" s="6">
        <v>19.5</v>
      </c>
      <c r="E23" s="7">
        <f t="shared" si="3"/>
        <v>0.33620689655172414</v>
      </c>
      <c r="F23" s="22">
        <f t="shared" si="0"/>
        <v>0.3297978686584131</v>
      </c>
      <c r="G23" s="8">
        <f t="shared" si="1"/>
        <v>0.3297978686584131</v>
      </c>
      <c r="S23" s="28"/>
      <c r="T23" s="28"/>
      <c r="U23" s="28"/>
      <c r="V23" s="28"/>
      <c r="W23" s="28"/>
      <c r="X23" s="28"/>
      <c r="Y23" s="28"/>
      <c r="Z23" s="28"/>
    </row>
    <row r="24" spans="2:26" ht="13.5" customHeight="1" x14ac:dyDescent="0.15">
      <c r="B24" s="5">
        <v>85</v>
      </c>
      <c r="C24" s="6">
        <f t="shared" si="2"/>
        <v>12</v>
      </c>
      <c r="D24" s="6">
        <v>10</v>
      </c>
      <c r="E24" s="7">
        <f t="shared" si="3"/>
        <v>0.17241379310344829</v>
      </c>
      <c r="F24" s="22">
        <f t="shared" si="0"/>
        <v>0.19325132069427775</v>
      </c>
      <c r="G24" s="8">
        <f t="shared" si="1"/>
        <v>0.19325132069427775</v>
      </c>
      <c r="S24" s="28"/>
      <c r="T24" s="28"/>
      <c r="U24" s="28"/>
      <c r="V24" s="28"/>
      <c r="W24" s="28"/>
      <c r="X24" s="28"/>
      <c r="Y24" s="28"/>
      <c r="Z24" s="28"/>
    </row>
    <row r="25" spans="2:26" ht="13.5" customHeight="1" x14ac:dyDescent="0.15">
      <c r="B25" s="5">
        <v>90</v>
      </c>
      <c r="C25" s="6">
        <f t="shared" si="2"/>
        <v>7</v>
      </c>
      <c r="D25" s="6">
        <v>5</v>
      </c>
      <c r="E25" s="7">
        <f t="shared" si="3"/>
        <v>8.6206896551724144E-2</v>
      </c>
      <c r="F25" s="22">
        <f t="shared" si="0"/>
        <v>8.7656074439086726E-2</v>
      </c>
      <c r="G25" s="8">
        <f t="shared" si="1"/>
        <v>8.7656074439086726E-2</v>
      </c>
      <c r="S25" s="28"/>
      <c r="T25" s="28"/>
      <c r="U25" s="28"/>
      <c r="V25" s="28"/>
      <c r="W25" s="28"/>
      <c r="X25" s="28"/>
      <c r="Y25" s="28"/>
      <c r="Z25" s="28"/>
    </row>
    <row r="26" spans="2:26" ht="14.25" customHeight="1" x14ac:dyDescent="0.15">
      <c r="B26" s="5">
        <v>95</v>
      </c>
      <c r="C26" s="6">
        <f t="shared" si="2"/>
        <v>3</v>
      </c>
      <c r="D26" s="20">
        <v>1</v>
      </c>
      <c r="E26" s="7">
        <f t="shared" si="3"/>
        <v>1.7241379310344827E-2</v>
      </c>
      <c r="F26" s="22">
        <f t="shared" si="0"/>
        <v>2.1914018609771647E-2</v>
      </c>
      <c r="G26" s="8">
        <f t="shared" si="1"/>
        <v>2.1914018609771647E-2</v>
      </c>
      <c r="S26" s="28"/>
      <c r="T26" s="28"/>
      <c r="U26" s="28"/>
      <c r="V26" s="28"/>
      <c r="W26" s="28"/>
      <c r="X26" s="28"/>
      <c r="Y26" s="28"/>
      <c r="Z26" s="28"/>
    </row>
    <row r="27" spans="2:26" ht="14.1" customHeight="1" x14ac:dyDescent="0.15">
      <c r="B27" s="5">
        <v>100</v>
      </c>
      <c r="C27" s="6">
        <f t="shared" si="2"/>
        <v>2.5</v>
      </c>
      <c r="D27" s="6">
        <v>0.5</v>
      </c>
      <c r="E27" s="7">
        <f t="shared" si="3"/>
        <v>8.6206896551724137E-3</v>
      </c>
      <c r="F27" s="22">
        <f t="shared" si="0"/>
        <v>1.0579421425137549E-32</v>
      </c>
      <c r="G27" s="8">
        <f t="shared" si="1"/>
        <v>1.0579421425137549E-32</v>
      </c>
      <c r="S27" s="28"/>
      <c r="T27" s="28"/>
      <c r="U27" s="28"/>
      <c r="V27" s="28"/>
      <c r="W27" s="28"/>
      <c r="X27" s="28"/>
      <c r="Y27" s="28"/>
      <c r="Z27" s="28"/>
    </row>
    <row r="28" spans="2:26" ht="14.1" customHeight="1" x14ac:dyDescent="0.15">
      <c r="B28" s="5">
        <v>105</v>
      </c>
      <c r="C28" s="10"/>
      <c r="D28" s="10"/>
      <c r="E28" s="10"/>
      <c r="F28" s="22">
        <f t="shared" si="0"/>
        <v>2.060255728182225E-2</v>
      </c>
      <c r="G28" s="8">
        <f t="shared" si="1"/>
        <v>2.060255728182225E-2</v>
      </c>
      <c r="S28" s="28"/>
      <c r="T28" s="28"/>
      <c r="U28" s="28"/>
      <c r="V28" s="28"/>
      <c r="W28" s="28"/>
      <c r="X28" s="28"/>
      <c r="Y28" s="28"/>
      <c r="Z28" s="28"/>
    </row>
    <row r="29" spans="2:26" ht="14.1" customHeight="1" x14ac:dyDescent="0.15">
      <c r="B29" s="5">
        <v>110</v>
      </c>
      <c r="C29" s="6">
        <f t="shared" si="2"/>
        <v>8</v>
      </c>
      <c r="D29" s="6">
        <v>6</v>
      </c>
      <c r="E29" s="7">
        <f t="shared" si="3"/>
        <v>0.10344827586206896</v>
      </c>
      <c r="F29" s="22">
        <f t="shared" si="0"/>
        <v>7.7402261584386192E-2</v>
      </c>
      <c r="G29" s="8">
        <f t="shared" si="1"/>
        <v>7.7402261584386192E-2</v>
      </c>
      <c r="S29" s="28"/>
      <c r="T29" s="28"/>
      <c r="U29" s="28"/>
      <c r="V29" s="28"/>
      <c r="W29" s="28"/>
      <c r="X29" s="28"/>
      <c r="Y29" s="28"/>
      <c r="Z29" s="28"/>
    </row>
    <row r="30" spans="2:26" ht="14.1" customHeight="1" x14ac:dyDescent="0.15">
      <c r="B30" s="5">
        <v>115</v>
      </c>
      <c r="C30" s="10"/>
      <c r="D30" s="10"/>
      <c r="E30" s="10"/>
      <c r="F30" s="22">
        <f t="shared" si="0"/>
        <v>0.15995044089802404</v>
      </c>
      <c r="G30" s="8">
        <f t="shared" si="1"/>
        <v>0.15995044089802404</v>
      </c>
      <c r="S30" s="28"/>
      <c r="T30" s="28"/>
      <c r="U30" s="28"/>
      <c r="V30" s="28"/>
      <c r="W30" s="28"/>
      <c r="X30" s="28"/>
      <c r="Y30" s="28"/>
      <c r="Z30" s="28"/>
    </row>
    <row r="31" spans="2:26" ht="14.1" customHeight="1" x14ac:dyDescent="0.15">
      <c r="B31" s="5">
        <v>120</v>
      </c>
      <c r="C31" s="6">
        <f t="shared" si="2"/>
        <v>21</v>
      </c>
      <c r="D31" s="6">
        <v>19</v>
      </c>
      <c r="E31" s="7">
        <f t="shared" si="3"/>
        <v>0.32758620689655171</v>
      </c>
      <c r="F31" s="22">
        <f t="shared" si="0"/>
        <v>0.25503876113483465</v>
      </c>
      <c r="G31" s="8">
        <f t="shared" si="1"/>
        <v>0.25503876113483465</v>
      </c>
      <c r="S31" s="28"/>
      <c r="T31" s="28"/>
      <c r="U31" s="28"/>
      <c r="V31" s="28"/>
      <c r="W31" s="28"/>
      <c r="X31" s="28"/>
      <c r="Y31" s="28"/>
      <c r="Z31" s="28"/>
    </row>
    <row r="32" spans="2:26" ht="14.1" customHeight="1" x14ac:dyDescent="0.15">
      <c r="B32" s="5">
        <v>125</v>
      </c>
      <c r="C32" s="10"/>
      <c r="D32" s="10"/>
      <c r="E32" s="10"/>
      <c r="F32" s="22">
        <f t="shared" si="0"/>
        <v>0.34839115061495335</v>
      </c>
      <c r="G32" s="8">
        <f t="shared" si="1"/>
        <v>0.34839115061495335</v>
      </c>
      <c r="S32" s="28"/>
      <c r="T32" s="28"/>
      <c r="U32" s="28"/>
      <c r="V32" s="28"/>
      <c r="W32" s="28"/>
      <c r="X32" s="28"/>
      <c r="Y32" s="28"/>
      <c r="Z32" s="28"/>
    </row>
    <row r="33" spans="2:26" ht="14.1" customHeight="1" x14ac:dyDescent="0.15">
      <c r="B33" s="5">
        <v>130</v>
      </c>
      <c r="C33" s="6">
        <f t="shared" si="2"/>
        <v>32</v>
      </c>
      <c r="D33" s="6">
        <v>30</v>
      </c>
      <c r="E33" s="7">
        <f t="shared" si="3"/>
        <v>0.51724137931034486</v>
      </c>
      <c r="F33" s="22">
        <f t="shared" si="0"/>
        <v>0.42647099479176293</v>
      </c>
      <c r="G33" s="8">
        <f t="shared" si="1"/>
        <v>0.42647099479176293</v>
      </c>
      <c r="S33" s="28"/>
      <c r="T33" s="28"/>
      <c r="U33" s="28"/>
      <c r="V33" s="28"/>
      <c r="W33" s="28"/>
      <c r="X33" s="28"/>
      <c r="Y33" s="28"/>
      <c r="Z33" s="28"/>
    </row>
    <row r="34" spans="2:26" x14ac:dyDescent="0.15">
      <c r="B34" s="5">
        <v>135</v>
      </c>
      <c r="C34" s="6">
        <f t="shared" si="2"/>
        <v>36</v>
      </c>
      <c r="D34" s="20">
        <v>34</v>
      </c>
      <c r="E34" s="7">
        <f t="shared" si="3"/>
        <v>0.58620689655172409</v>
      </c>
      <c r="F34" s="22">
        <f t="shared" si="0"/>
        <v>0.47818303537378753</v>
      </c>
      <c r="G34" s="8">
        <f t="shared" si="1"/>
        <v>0.47818303537378753</v>
      </c>
    </row>
    <row r="35" spans="2:26" x14ac:dyDescent="0.15">
      <c r="B35" s="5">
        <v>140</v>
      </c>
      <c r="C35" s="6">
        <f t="shared" si="2"/>
        <v>37.5</v>
      </c>
      <c r="D35" s="6">
        <v>35.5</v>
      </c>
      <c r="E35" s="7">
        <f t="shared" si="3"/>
        <v>0.61206896551724133</v>
      </c>
      <c r="F35" s="22">
        <f t="shared" si="0"/>
        <v>0.49626259758225694</v>
      </c>
      <c r="G35" s="8">
        <f t="shared" si="1"/>
        <v>0.49626259758225694</v>
      </c>
    </row>
    <row r="36" spans="2:26" x14ac:dyDescent="0.15">
      <c r="B36" s="5">
        <v>145</v>
      </c>
      <c r="C36" s="10"/>
      <c r="D36" s="10"/>
      <c r="E36" s="10"/>
      <c r="F36" s="22">
        <f t="shared" si="0"/>
        <v>0.47818303537378737</v>
      </c>
      <c r="G36" s="8">
        <f t="shared" si="1"/>
        <v>0.47818303537378737</v>
      </c>
    </row>
    <row r="37" spans="2:26" x14ac:dyDescent="0.15">
      <c r="B37" s="5">
        <v>150</v>
      </c>
      <c r="C37" s="6">
        <f t="shared" si="2"/>
        <v>33</v>
      </c>
      <c r="D37" s="6">
        <v>31</v>
      </c>
      <c r="E37" s="7">
        <f t="shared" si="3"/>
        <v>0.53448275862068961</v>
      </c>
      <c r="F37" s="22">
        <f t="shared" si="0"/>
        <v>0.42647099479176259</v>
      </c>
      <c r="G37" s="8">
        <f t="shared" si="1"/>
        <v>0.42647099479176259</v>
      </c>
    </row>
    <row r="38" spans="2:26" x14ac:dyDescent="0.15">
      <c r="B38" s="5">
        <v>155</v>
      </c>
      <c r="C38" s="10"/>
      <c r="D38" s="10"/>
      <c r="E38" s="10"/>
      <c r="F38" s="22">
        <f t="shared" si="0"/>
        <v>0.34839115061495307</v>
      </c>
      <c r="G38" s="8">
        <f t="shared" si="1"/>
        <v>0.34839115061495307</v>
      </c>
    </row>
    <row r="39" spans="2:26" x14ac:dyDescent="0.15">
      <c r="B39" s="5">
        <v>160</v>
      </c>
      <c r="C39" s="6">
        <f t="shared" si="2"/>
        <v>21</v>
      </c>
      <c r="D39" s="6">
        <v>19</v>
      </c>
      <c r="E39" s="7">
        <f t="shared" si="3"/>
        <v>0.32758620689655171</v>
      </c>
      <c r="F39" s="22">
        <f t="shared" si="0"/>
        <v>0.2550387611348352</v>
      </c>
      <c r="G39" s="8">
        <f t="shared" si="1"/>
        <v>0.2550387611348352</v>
      </c>
    </row>
    <row r="40" spans="2:26" x14ac:dyDescent="0.15">
      <c r="B40" s="5">
        <v>165</v>
      </c>
      <c r="C40" s="10"/>
      <c r="D40" s="10"/>
      <c r="E40" s="10"/>
      <c r="F40" s="22">
        <f t="shared" si="0"/>
        <v>0.15995044089802446</v>
      </c>
      <c r="G40" s="8">
        <f t="shared" si="1"/>
        <v>0.15995044089802446</v>
      </c>
    </row>
    <row r="41" spans="2:26" x14ac:dyDescent="0.15">
      <c r="B41" s="5">
        <v>170</v>
      </c>
      <c r="C41" s="6">
        <f t="shared" si="2"/>
        <v>8.5</v>
      </c>
      <c r="D41" s="6">
        <v>6.5</v>
      </c>
      <c r="E41" s="7">
        <f t="shared" si="3"/>
        <v>0.11206896551724138</v>
      </c>
      <c r="F41" s="22">
        <f t="shared" si="0"/>
        <v>7.7402261584386123E-2</v>
      </c>
      <c r="G41" s="8">
        <f t="shared" si="1"/>
        <v>7.7402261584386123E-2</v>
      </c>
    </row>
    <row r="42" spans="2:26" x14ac:dyDescent="0.15">
      <c r="B42" s="5">
        <v>175</v>
      </c>
      <c r="C42" s="10"/>
      <c r="D42" s="10"/>
      <c r="E42" s="10"/>
      <c r="F42" s="22">
        <f t="shared" si="0"/>
        <v>2.0602557281822208E-2</v>
      </c>
      <c r="G42" s="8">
        <f t="shared" si="1"/>
        <v>2.0602557281822208E-2</v>
      </c>
    </row>
    <row r="43" spans="2:26" x14ac:dyDescent="0.15">
      <c r="B43" s="5">
        <v>180</v>
      </c>
      <c r="C43" s="6">
        <f t="shared" si="2"/>
        <v>2</v>
      </c>
      <c r="D43" s="6">
        <v>0</v>
      </c>
      <c r="E43" s="7">
        <f t="shared" si="3"/>
        <v>0</v>
      </c>
      <c r="F43" s="22">
        <f t="shared" si="0"/>
        <v>1.0579421425137549E-32</v>
      </c>
      <c r="G43" s="8">
        <f t="shared" si="1"/>
        <v>1.0579421425137549E-32</v>
      </c>
    </row>
    <row r="44" spans="2:26" x14ac:dyDescent="0.15">
      <c r="F44" s="18" t="s">
        <v>7</v>
      </c>
      <c r="G44" s="18"/>
    </row>
    <row r="47" spans="2:26" x14ac:dyDescent="0.15">
      <c r="F47" s="24">
        <f>MAX(F7:F43)</f>
        <v>1.0010538117303101</v>
      </c>
    </row>
  </sheetData>
  <mergeCells count="2">
    <mergeCell ref="B5:F5"/>
    <mergeCell ref="S8:Z33"/>
  </mergeCells>
  <phoneticPr fontId="4"/>
  <pageMargins left="0.78740157480314965" right="0" top="0" bottom="0" header="0.31496062992125984" footer="0.31496062992125984"/>
  <pageSetup paperSize="9" scale="5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実験2-1_グラフ</vt:lpstr>
      <vt:lpstr>実験2-2_グラフ</vt:lpstr>
      <vt:lpstr>実験2-3_グラフ</vt:lpstr>
      <vt:lpstr>'実験2-1_グラフ'!Print_Area</vt:lpstr>
      <vt:lpstr>'実験2-2_グラフ'!Print_Area</vt:lpstr>
      <vt:lpstr>'実験2-3_グラフ'!Print_Area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NAKAGAWA</dc:creator>
  <cp:lastModifiedBy>capacitor</cp:lastModifiedBy>
  <cp:lastPrinted>2025-11-25T07:26:41Z</cp:lastPrinted>
  <dcterms:created xsi:type="dcterms:W3CDTF">2016-08-30T02:53:09Z</dcterms:created>
  <dcterms:modified xsi:type="dcterms:W3CDTF">2025-11-25T07:29:15Z</dcterms:modified>
</cp:coreProperties>
</file>